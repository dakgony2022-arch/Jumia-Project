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fb032034406f16b2/Documents/"/>
    </mc:Choice>
  </mc:AlternateContent>
  <xr:revisionPtr revIDLastSave="0" documentId="8_{F347F794-1F5E-4C65-8318-F21648ADF9EE}" xr6:coauthVersionLast="47" xr6:coauthVersionMax="47" xr10:uidLastSave="{00000000-0000-0000-0000-000000000000}"/>
  <bookViews>
    <workbookView xWindow="28680" yWindow="-120" windowWidth="17520" windowHeight="13200" firstSheet="1" activeTab="4" xr2:uid="{36A27BF0-C965-47AE-99A9-963EAB6CF374}"/>
  </bookViews>
  <sheets>
    <sheet name="Excel_jumia_dataset" sheetId="1" r:id="rId1"/>
    <sheet name="cleaned products" sheetId="2" r:id="rId2"/>
    <sheet name="analysis" sheetId="4" r:id="rId3"/>
    <sheet name="pivot tables " sheetId="6" r:id="rId4"/>
    <sheet name="Dashboard" sheetId="5" r:id="rId5"/>
    <sheet name="Bussines insights " sheetId="8" r:id="rId6"/>
  </sheets>
  <definedNames>
    <definedName name="_xlchart.v2.0" hidden="1">'cleaned products'!$N$55:$N$64</definedName>
    <definedName name="_xlchart.v2.1" hidden="1">'cleaned products'!$O$55:$O$64</definedName>
    <definedName name="_xlchart.v2.2" hidden="1">'cleaned products'!$N$55:$N$64</definedName>
    <definedName name="_xlchart.v2.3" hidden="1">'cleaned products'!$O$55:$O$64</definedName>
    <definedName name="Slicer_Discount_category1">#N/A</definedName>
    <definedName name="Slicer_price_category">#N/A</definedName>
    <definedName name="Slicer_rating_category">#N/A</definedName>
    <definedName name="Slicer_Review">#N/A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5" i="2" l="1" a="1"/>
  <c r="N55" i="2" a="1"/>
  <c r="N44" i="2" a="1"/>
  <c r="C32" i="2"/>
  <c r="E32" i="2"/>
  <c r="F32" i="2"/>
  <c r="I32" i="2"/>
  <c r="C33" i="2"/>
  <c r="E33" i="2"/>
  <c r="F33" i="2"/>
  <c r="I33" i="2"/>
  <c r="C34" i="2"/>
  <c r="E34" i="2"/>
  <c r="F34" i="2"/>
  <c r="I34" i="2"/>
  <c r="C35" i="2"/>
  <c r="E35" i="2"/>
  <c r="F35" i="2"/>
  <c r="I35" i="2"/>
  <c r="C36" i="2"/>
  <c r="E36" i="2"/>
  <c r="F36" i="2"/>
  <c r="I36" i="2"/>
  <c r="C37" i="2"/>
  <c r="E37" i="2"/>
  <c r="F37" i="2"/>
  <c r="I37" i="2"/>
  <c r="C38" i="2"/>
  <c r="E38" i="2"/>
  <c r="F38" i="2"/>
  <c r="I38" i="2"/>
  <c r="C39" i="2"/>
  <c r="E39" i="2"/>
  <c r="F39" i="2"/>
  <c r="I39" i="2"/>
  <c r="C40" i="2"/>
  <c r="E40" i="2"/>
  <c r="F40" i="2"/>
  <c r="I40" i="2"/>
  <c r="C41" i="2"/>
  <c r="E41" i="2"/>
  <c r="F41" i="2"/>
  <c r="I41" i="2"/>
  <c r="G62" i="4" a="1"/>
  <c r="D62" i="4" a="1"/>
  <c r="A62" i="4" a="1"/>
  <c r="D51" i="4" a="1"/>
  <c r="A51" i="4" a="1"/>
  <c r="G44" i="4" a="1"/>
  <c r="D44" i="4" a="1"/>
  <c r="A44" i="4" a="1"/>
  <c r="D20" i="4" a="1"/>
  <c r="A20" i="4" a="1"/>
  <c r="G5" i="4" a="1"/>
  <c r="D5" i="4" a="1"/>
  <c r="A5" i="4" a="1"/>
  <c r="Q72" i="2"/>
  <c r="Q71" i="2"/>
  <c r="R70" i="2"/>
  <c r="R69" i="2"/>
  <c r="R68" i="2"/>
  <c r="R65" i="2"/>
  <c r="R67" i="2"/>
  <c r="R66" i="2"/>
  <c r="F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2" i="2"/>
  <c r="F65" i="2"/>
  <c r="F84" i="2"/>
  <c r="F13" i="2"/>
  <c r="F27" i="2"/>
  <c r="F5" i="2"/>
  <c r="F10" i="2"/>
  <c r="F61" i="2"/>
  <c r="F47" i="2"/>
  <c r="F70" i="2"/>
  <c r="F59" i="2"/>
  <c r="F83" i="2"/>
  <c r="F87" i="2"/>
  <c r="F29" i="2"/>
  <c r="F98" i="2"/>
  <c r="F110" i="2"/>
  <c r="F18" i="2"/>
  <c r="F6" i="2"/>
  <c r="F58" i="2"/>
  <c r="F116" i="2"/>
  <c r="F22" i="2"/>
  <c r="F68" i="2"/>
  <c r="F17" i="2"/>
  <c r="F93" i="2"/>
  <c r="F7" i="2"/>
  <c r="F45" i="2"/>
  <c r="F26" i="2"/>
  <c r="F12" i="2"/>
  <c r="F111" i="2"/>
  <c r="F62" i="2"/>
  <c r="F23" i="2"/>
  <c r="F20" i="2"/>
  <c r="F19" i="2"/>
  <c r="F113" i="2"/>
  <c r="F95" i="2"/>
  <c r="F24" i="2"/>
  <c r="F9" i="2"/>
  <c r="F89" i="2"/>
  <c r="F105" i="2"/>
  <c r="F80" i="2"/>
  <c r="F81" i="2"/>
  <c r="F15" i="2"/>
  <c r="F57" i="2"/>
  <c r="F51" i="2"/>
  <c r="F77" i="2"/>
  <c r="F49" i="2"/>
  <c r="F107" i="2"/>
  <c r="F101" i="2"/>
  <c r="F31" i="2"/>
  <c r="F102" i="2"/>
  <c r="F43" i="2"/>
  <c r="F71" i="2"/>
  <c r="F88" i="2"/>
  <c r="F75" i="2"/>
  <c r="F72" i="2"/>
  <c r="F8" i="2"/>
  <c r="F94" i="2"/>
  <c r="F14" i="2"/>
  <c r="F90" i="2"/>
  <c r="F16" i="2"/>
  <c r="F92" i="2"/>
  <c r="F100" i="2"/>
  <c r="F48" i="2"/>
  <c r="F60" i="2"/>
  <c r="F56" i="2"/>
  <c r="F96" i="2"/>
  <c r="F11" i="2"/>
  <c r="F97" i="2"/>
  <c r="F86" i="2"/>
  <c r="F64" i="2"/>
  <c r="F74" i="2"/>
  <c r="F76" i="2"/>
  <c r="F28" i="2"/>
  <c r="F106" i="2"/>
  <c r="F53" i="2"/>
  <c r="F63" i="2"/>
  <c r="F42" i="2"/>
  <c r="F30" i="2"/>
  <c r="F99" i="2"/>
  <c r="F82" i="2"/>
  <c r="F112" i="2"/>
  <c r="F103" i="2"/>
  <c r="F73" i="2"/>
  <c r="F78" i="2"/>
  <c r="F79" i="2"/>
  <c r="F69" i="2"/>
  <c r="F46" i="2"/>
  <c r="F115" i="2"/>
  <c r="F66" i="2"/>
  <c r="F67" i="2"/>
  <c r="F50" i="2"/>
  <c r="F104" i="2"/>
  <c r="F4" i="2"/>
  <c r="F85" i="2"/>
  <c r="F55" i="2"/>
  <c r="F3" i="2"/>
  <c r="F44" i="2"/>
  <c r="F21" i="2"/>
  <c r="F109" i="2"/>
  <c r="F54" i="2"/>
  <c r="F52" i="2"/>
  <c r="F25" i="2"/>
  <c r="F108" i="2"/>
  <c r="F91" i="2"/>
  <c r="F114" i="2"/>
  <c r="I65" i="2"/>
  <c r="I84" i="2"/>
  <c r="I13" i="2"/>
  <c r="I27" i="2"/>
  <c r="I5" i="2"/>
  <c r="I10" i="2"/>
  <c r="I61" i="2"/>
  <c r="I47" i="2"/>
  <c r="I70" i="2"/>
  <c r="I59" i="2"/>
  <c r="I83" i="2"/>
  <c r="I87" i="2"/>
  <c r="I29" i="2"/>
  <c r="I98" i="2"/>
  <c r="I110" i="2"/>
  <c r="I18" i="2"/>
  <c r="I6" i="2"/>
  <c r="I58" i="2"/>
  <c r="I116" i="2"/>
  <c r="I22" i="2"/>
  <c r="I68" i="2"/>
  <c r="I17" i="2"/>
  <c r="I93" i="2"/>
  <c r="I7" i="2"/>
  <c r="I45" i="2"/>
  <c r="I26" i="2"/>
  <c r="I12" i="2"/>
  <c r="I111" i="2"/>
  <c r="I62" i="2"/>
  <c r="I23" i="2"/>
  <c r="I20" i="2"/>
  <c r="I19" i="2"/>
  <c r="I113" i="2"/>
  <c r="I95" i="2"/>
  <c r="I24" i="2"/>
  <c r="I9" i="2"/>
  <c r="I89" i="2"/>
  <c r="I105" i="2"/>
  <c r="I80" i="2"/>
  <c r="I81" i="2"/>
  <c r="I15" i="2"/>
  <c r="I57" i="2"/>
  <c r="I51" i="2"/>
  <c r="I77" i="2"/>
  <c r="I49" i="2"/>
  <c r="I107" i="2"/>
  <c r="I101" i="2"/>
  <c r="I31" i="2"/>
  <c r="I102" i="2"/>
  <c r="I43" i="2"/>
  <c r="I71" i="2"/>
  <c r="I88" i="2"/>
  <c r="I75" i="2"/>
  <c r="I72" i="2"/>
  <c r="I8" i="2"/>
  <c r="I94" i="2"/>
  <c r="I14" i="2"/>
  <c r="I90" i="2"/>
  <c r="I16" i="2"/>
  <c r="I92" i="2"/>
  <c r="I100" i="2"/>
  <c r="I48" i="2"/>
  <c r="I60" i="2"/>
  <c r="I56" i="2"/>
  <c r="I2" i="2"/>
  <c r="I96" i="2"/>
  <c r="I11" i="2"/>
  <c r="I97" i="2"/>
  <c r="I86" i="2"/>
  <c r="I64" i="2"/>
  <c r="I74" i="2"/>
  <c r="I76" i="2"/>
  <c r="I28" i="2"/>
  <c r="I106" i="2"/>
  <c r="I53" i="2"/>
  <c r="I63" i="2"/>
  <c r="I42" i="2"/>
  <c r="I30" i="2"/>
  <c r="I99" i="2"/>
  <c r="I82" i="2"/>
  <c r="I112" i="2"/>
  <c r="I103" i="2"/>
  <c r="I73" i="2"/>
  <c r="I78" i="2"/>
  <c r="I79" i="2"/>
  <c r="I69" i="2"/>
  <c r="I46" i="2"/>
  <c r="I115" i="2"/>
  <c r="I66" i="2"/>
  <c r="I67" i="2"/>
  <c r="I50" i="2"/>
  <c r="I104" i="2"/>
  <c r="I4" i="2"/>
  <c r="I85" i="2"/>
  <c r="I55" i="2"/>
  <c r="I3" i="2"/>
  <c r="I44" i="2"/>
  <c r="I21" i="2"/>
  <c r="I109" i="2"/>
  <c r="I54" i="2"/>
  <c r="I52" i="2"/>
  <c r="I25" i="2"/>
  <c r="I108" i="2"/>
  <c r="I91" i="2"/>
  <c r="I114" i="2"/>
  <c r="Q15" i="2"/>
  <c r="E65" i="2"/>
  <c r="E84" i="2"/>
  <c r="E13" i="2"/>
  <c r="E27" i="2"/>
  <c r="E5" i="2"/>
  <c r="E10" i="2"/>
  <c r="E61" i="2"/>
  <c r="E47" i="2"/>
  <c r="E70" i="2"/>
  <c r="E59" i="2"/>
  <c r="E83" i="2"/>
  <c r="E87" i="2"/>
  <c r="E29" i="2"/>
  <c r="E98" i="2"/>
  <c r="E110" i="2"/>
  <c r="E18" i="2"/>
  <c r="E6" i="2"/>
  <c r="E58" i="2"/>
  <c r="E116" i="2"/>
  <c r="E22" i="2"/>
  <c r="E68" i="2"/>
  <c r="E17" i="2"/>
  <c r="E93" i="2"/>
  <c r="E7" i="2"/>
  <c r="E45" i="2"/>
  <c r="E26" i="2"/>
  <c r="E12" i="2"/>
  <c r="E111" i="2"/>
  <c r="E62" i="2"/>
  <c r="E23" i="2"/>
  <c r="E20" i="2"/>
  <c r="E19" i="2"/>
  <c r="E113" i="2"/>
  <c r="E95" i="2"/>
  <c r="E24" i="2"/>
  <c r="E9" i="2"/>
  <c r="E89" i="2"/>
  <c r="E105" i="2"/>
  <c r="E80" i="2"/>
  <c r="E81" i="2"/>
  <c r="E15" i="2"/>
  <c r="E57" i="2"/>
  <c r="E51" i="2"/>
  <c r="E77" i="2"/>
  <c r="E49" i="2"/>
  <c r="E107" i="2"/>
  <c r="E101" i="2"/>
  <c r="E31" i="2"/>
  <c r="E102" i="2"/>
  <c r="E43" i="2"/>
  <c r="E71" i="2"/>
  <c r="E88" i="2"/>
  <c r="E75" i="2"/>
  <c r="E72" i="2"/>
  <c r="E8" i="2"/>
  <c r="E94" i="2"/>
  <c r="E14" i="2"/>
  <c r="E90" i="2"/>
  <c r="E16" i="2"/>
  <c r="E92" i="2"/>
  <c r="E100" i="2"/>
  <c r="E48" i="2"/>
  <c r="E60" i="2"/>
  <c r="E56" i="2"/>
  <c r="E2" i="2"/>
  <c r="E96" i="2"/>
  <c r="E11" i="2"/>
  <c r="E97" i="2"/>
  <c r="E86" i="2"/>
  <c r="E64" i="2"/>
  <c r="E74" i="2"/>
  <c r="E76" i="2"/>
  <c r="E28" i="2"/>
  <c r="E106" i="2"/>
  <c r="E53" i="2"/>
  <c r="E63" i="2"/>
  <c r="E42" i="2"/>
  <c r="E30" i="2"/>
  <c r="E99" i="2"/>
  <c r="E82" i="2"/>
  <c r="E112" i="2"/>
  <c r="E103" i="2"/>
  <c r="E73" i="2"/>
  <c r="E78" i="2"/>
  <c r="E79" i="2"/>
  <c r="E69" i="2"/>
  <c r="E46" i="2"/>
  <c r="E115" i="2"/>
  <c r="E66" i="2"/>
  <c r="E67" i="2"/>
  <c r="E50" i="2"/>
  <c r="E104" i="2"/>
  <c r="E4" i="2"/>
  <c r="E85" i="2"/>
  <c r="E55" i="2"/>
  <c r="E3" i="2"/>
  <c r="E44" i="2"/>
  <c r="E21" i="2"/>
  <c r="E109" i="2"/>
  <c r="E54" i="2"/>
  <c r="E52" i="2"/>
  <c r="E25" i="2"/>
  <c r="E108" i="2"/>
  <c r="E91" i="2"/>
  <c r="E114" i="2"/>
  <c r="Q14" i="2"/>
  <c r="Q13" i="2"/>
  <c r="Q12" i="2"/>
  <c r="Q11" i="2"/>
  <c r="Q10" i="2"/>
  <c r="M8" i="2"/>
  <c r="N32" i="2" l="1" a="1"/>
  <c r="L19" i="2"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<sst xmlns="http://schemas.openxmlformats.org/spreadsheetml/2006/main" count="530" uniqueCount="307">
  <si>
    <t>Product</t>
  </si>
  <si>
    <t>Current price</t>
  </si>
  <si>
    <t>old price</t>
  </si>
  <si>
    <t>Discount</t>
  </si>
  <si>
    <t>Review</t>
  </si>
  <si>
    <t>Ratingd</t>
  </si>
  <si>
    <t>115  Piece Set Of Multifunctional Precision Screwdrivers</t>
  </si>
  <si>
    <t>KSh 1,525</t>
  </si>
  <si>
    <t>4.5 out of 5</t>
  </si>
  <si>
    <t>Metal Decorative Hooks Key Hangers Entryway Wall Hooks Towel Hooks - Home</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</si>
  <si>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</si>
  <si>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</si>
  <si>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</si>
  <si>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</si>
  <si>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</si>
  <si>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</si>
  <si>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</si>
  <si>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</si>
  <si>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</si>
  <si>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</si>
  <si>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</si>
  <si>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2,356</t>
  </si>
  <si>
    <t>4.8 out of 5</t>
  </si>
  <si>
    <t>220V 60W Electric Soldering Iron Kits With Tools, Tips, And Multimeter</t>
  </si>
  <si>
    <t>KSh 3,290</t>
  </si>
  <si>
    <t>4 out of 5</t>
  </si>
  <si>
    <t>137 Pieces Cake Decorating Tool Set Baking Supplies</t>
  </si>
  <si>
    <t>KSh 3,032</t>
  </si>
  <si>
    <t>Desk Foldable Fan Adjustable Fan Strong Wind 3 Gear Usb</t>
  </si>
  <si>
    <t>LASA FOLDING TABLE SERVING STAND</t>
  </si>
  <si>
    <t>KSh 2,800</t>
  </si>
  <si>
    <t>13 In 1 Home Repair Tools Box Kit Set</t>
  </si>
  <si>
    <t>KSh 2,929</t>
  </si>
  <si>
    <t>3.8 out of 5</t>
  </si>
  <si>
    <t>Genebre 115 In 1 Screwdriver Repairing Tool Set For IPhone Cellphone Hand Tool</t>
  </si>
  <si>
    <t>100 Pcs Crochet Hook Tool Set Knitting Hook Set With Box</t>
  </si>
  <si>
    <t>KSh 1,500</t>
  </si>
  <si>
    <t>40cm Gold DIY Acrylic Wall Sticker Clock</t>
  </si>
  <si>
    <t>KSh 1,035</t>
  </si>
  <si>
    <t>LASA Digital Thermometer And Hydrometer</t>
  </si>
  <si>
    <t>KSh 860</t>
  </si>
  <si>
    <t>Multifunction Laser Level With Adjustment Tripod</t>
  </si>
  <si>
    <t>4.2 out of 5</t>
  </si>
  <si>
    <t>Anti-Skid Absorbent Insulation Coaster  For Home Office</t>
  </si>
  <si>
    <t>KSh 684</t>
  </si>
  <si>
    <t>5 out of 5</t>
  </si>
  <si>
    <t>Peacock  Throw Pillow Cushion Case For Home Car</t>
  </si>
  <si>
    <t>KSh 360</t>
  </si>
  <si>
    <t>LASA Aluminum Folding Truck Hand Cart - 68kg Max</t>
  </si>
  <si>
    <t>KSh 3,971</t>
  </si>
  <si>
    <t>LED Wall Digital Alarm Clock Study Home 12 / 24H Clock Calendar</t>
  </si>
  <si>
    <t>KSh 3,699</t>
  </si>
  <si>
    <t>3D Waterproof EVA Plastic Shower Curtain 1.8*2Mtrs</t>
  </si>
  <si>
    <t>KSh 1,966</t>
  </si>
  <si>
    <t>3PCS Single Head Knitting Crochet Sweater Needle Set</t>
  </si>
  <si>
    <t>KSh 80</t>
  </si>
  <si>
    <t>3.3 out of 5</t>
  </si>
  <si>
    <t>4pcs Bathroom/Kitchen Towel Rack,Roll Paper Holder,Towel Bars,Hook</t>
  </si>
  <si>
    <t>KSh 3,220</t>
  </si>
  <si>
    <t>LED Romantic Spaceship Starry Sky Projector,Children's Bedroom Night Light-Blue</t>
  </si>
  <si>
    <t>KSh 1,350</t>
  </si>
  <si>
    <t>Foldable Overbed Table/Desk</t>
  </si>
  <si>
    <t>KSh 2,150</t>
  </si>
  <si>
    <t>4.4 out of 5</t>
  </si>
  <si>
    <t>LASA 3 Tier Bamboo Shoe Bench Storage Shelf</t>
  </si>
  <si>
    <t>KSh 4,500</t>
  </si>
  <si>
    <t>4.3 out of 5</t>
  </si>
  <si>
    <t>Electronic Digital Display Vernier Caliper</t>
  </si>
  <si>
    <t>KSh 647</t>
  </si>
  <si>
    <t>Portable Wardrobe Nonwoven With 3 Hanging Rods And 6 Storage Shelves</t>
  </si>
  <si>
    <t>KSh 3,520</t>
  </si>
  <si>
    <t>12 Litre Black Insulated Lunch Box</t>
  </si>
  <si>
    <t>KSh 1,990</t>
  </si>
  <si>
    <t>52 Pieces Cake Decorating Tool Set Gift Kit Baking Supplies</t>
  </si>
  <si>
    <t>MultiFunctional Storage Rack Multi-layer Bookshelf</t>
  </si>
  <si>
    <t>KSh 4,080</t>
  </si>
  <si>
    <t>Exfoliate And Exfoliate Face Towel - Black</t>
  </si>
  <si>
    <t>KSh 382</t>
  </si>
  <si>
    <t>12 Litre Insulated Lunch Box Grey</t>
  </si>
  <si>
    <t>KSh 1,490</t>
  </si>
  <si>
    <t>LED Eye Protection  Desk Lamp , Study, Reading, USB Fan - Double Pen Holder</t>
  </si>
  <si>
    <t>KSh 3,490</t>
  </si>
  <si>
    <t>53Pcs/Set Yarn Knitting Crochet Hooks With Bag - Fortune Cat</t>
  </si>
  <si>
    <t>KSh 2,650</t>
  </si>
  <si>
    <t>53 Pieces/Set Yarn Knitting Crochet Hooks With Bag - Pansies</t>
  </si>
  <si>
    <t>KSh 2,699</t>
  </si>
  <si>
    <t>DIY File Folder, Office Drawer File Holder, Pen Holder, Desktop Storage Rack</t>
  </si>
  <si>
    <t>KSh 2,690</t>
  </si>
  <si>
    <t>Classic Black Cat Cotton Hemp Pillow Case For Home Car</t>
  </si>
  <si>
    <t>Punch-free Great Load Bearing Bathroom Storage Rack Wall Shelf-White</t>
  </si>
  <si>
    <t>KSh 656</t>
  </si>
  <si>
    <t>1/2/3 Seater Elastic Sofa Cover,Living Room/Home Decor Chair Cover-Grey</t>
  </si>
  <si>
    <t>KSh 2,200 - KSh 3,200</t>
  </si>
  <si>
    <t>LASA Stainless Steel Double Wall Mount Soap Dispenser - 500ml</t>
  </si>
  <si>
    <t>KSh 4,471</t>
  </si>
  <si>
    <t>4M Float Switch Water Level Controller -Water Tank</t>
  </si>
  <si>
    <t>KSh 931</t>
  </si>
  <si>
    <t>Modern Sofa Throw Pillow Cover-45x45cm-Blue&amp;Red</t>
  </si>
  <si>
    <t>KSh 476</t>
  </si>
  <si>
    <t>Balloon Insert, Birthday Party Balloon Set, PU Leather</t>
  </si>
  <si>
    <t>KSh 1,060</t>
  </si>
  <si>
    <t>Shower Cap Wide Elastic Band Cover Reusable Bashroom Cap</t>
  </si>
  <si>
    <t>KSh 2,169</t>
  </si>
  <si>
    <t>Christmas Elk Fence Yard Lawn Decorations Cute For Holidays</t>
  </si>
  <si>
    <t>KSh 2,000</t>
  </si>
  <si>
    <t>60W Hot Melt Glue Sprayer - Efficient And Stable Glue Dispensing</t>
  </si>
  <si>
    <t>KSh 1,785</t>
  </si>
  <si>
    <t>Car Phone Charging Stand</t>
  </si>
  <si>
    <t>KSh 1,316</t>
  </si>
  <si>
    <t>2pcs Solar Street Light Flood Light Outdoor</t>
  </si>
  <si>
    <t>KSh 1,200</t>
  </si>
  <si>
    <t>KSh 1,950</t>
  </si>
  <si>
    <t>Creative Owl Shape Keychain Black</t>
  </si>
  <si>
    <t>KSh 504</t>
  </si>
  <si>
    <t>Brush &amp; Paintbrush Cleaning Tool Pink</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</si>
  <si>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</si>
  <si>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</si>
  <si>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</si>
  <si>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</si>
  <si>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</si>
  <si>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</si>
  <si>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</si>
  <si>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1,499</t>
  </si>
  <si>
    <t>Cute Christmas Fence Garden Decorations For Holiday Home</t>
  </si>
  <si>
    <t>KSh 1,343</t>
  </si>
  <si>
    <t>Simple Metal Dog Art Sculpture Decoration For Home Office</t>
  </si>
  <si>
    <t>KSh 900</t>
  </si>
  <si>
    <t>Christmas Fence Garden Decorations Outdoor For Holiday Home</t>
  </si>
  <si>
    <t>Angle Measuring Tool Full Metal Multi Angle Measuring Tool</t>
  </si>
  <si>
    <t>KSh 1,567</t>
  </si>
  <si>
    <t>12V 19500rpm Handheld Electric Angle Grinder Tool - UK - Yellow/Black</t>
  </si>
  <si>
    <t>KSh 3,810</t>
  </si>
  <si>
    <t>KSh 896</t>
  </si>
  <si>
    <t>5 Pieces/set Of Stainless Steel Induction Cooker Pots</t>
  </si>
  <si>
    <t>KSh 2,500</t>
  </si>
  <si>
    <t>2.5 out of 5</t>
  </si>
  <si>
    <t>Mythco 120COB Solar Wall Ligt With Motion Sensor And Remote Control 3 Modes</t>
  </si>
  <si>
    <t>KSh 986</t>
  </si>
  <si>
    <t>3 out of 5</t>
  </si>
  <si>
    <t>5-PCS Stainless Steel Cooking Pot Set With Steamed Slices</t>
  </si>
  <si>
    <t>KSh 4,700</t>
  </si>
  <si>
    <t>2.1 out of 5</t>
  </si>
  <si>
    <t>120W Cordless Vacuum Cleaners Handheld Electric Vacuum Cleaner</t>
  </si>
  <si>
    <t>KSh 873</t>
  </si>
  <si>
    <t>2.8 out of 5</t>
  </si>
  <si>
    <t>Intelligent  LED Body Sensor Wireless Lighting Night Light USB</t>
  </si>
  <si>
    <t>KSh 680</t>
  </si>
  <si>
    <t>2.7 out of 5</t>
  </si>
  <si>
    <t>VIC Wireless Vacuum Cleaner Dual Use For Home And Car 120W High Power Powerful</t>
  </si>
  <si>
    <t>KSh 1,555</t>
  </si>
  <si>
    <t>2.9 out of 5</t>
  </si>
  <si>
    <t>Artificial Potted Flowers Room Decorative Flowers (2 Pieces)</t>
  </si>
  <si>
    <t>KSh 1,814</t>
  </si>
  <si>
    <t>2.2 out of 5</t>
  </si>
  <si>
    <t>380ML USB Rechargeable Portable Small Blenders And Juicers</t>
  </si>
  <si>
    <t>2.3 out of 5</t>
  </si>
  <si>
    <t>32PCS Portable Cordless Drill Set With Cyclic Battery Drive -26 Variable Speed</t>
  </si>
  <si>
    <t>KSh 6,143</t>
  </si>
  <si>
    <t>Agapeon Toothbrush Holder And Toothpaste Dispenser</t>
  </si>
  <si>
    <t>KSh 700</t>
  </si>
  <si>
    <t>2.6 out of 5</t>
  </si>
  <si>
    <t>Large Lazy Inflatable Sofa Chairs PVC Lounger Seat Bag</t>
  </si>
  <si>
    <t>KSh 3,240</t>
  </si>
  <si>
    <t>Watercolour Gold Foil Textured Print Pillow Cover</t>
  </si>
  <si>
    <t>KSh 345</t>
  </si>
  <si>
    <t>KSh 602</t>
  </si>
  <si>
    <t>Wrought Iron Bathroom Shelf Wall Mounted Free Punch Toilet Rack</t>
  </si>
  <si>
    <t>KSh 899</t>
  </si>
  <si>
    <t>7-piece Set Of Storage Bags, Travel Storage Bags, Shoe Bags</t>
  </si>
  <si>
    <t>Electric LED UV Mosquito Killer Lamp, Outdoor/Indoor Fly Killer Trap Light -USB</t>
  </si>
  <si>
    <t>KSh 2,988</t>
  </si>
  <si>
    <t>2PCS/LOT Solar LED Outdoor Intelligent Light Controlled Wall Lamp</t>
  </si>
  <si>
    <t>KSh 1,485</t>
  </si>
  <si>
    <t>3PCS Rotary Scraper Thermomix For Kitchen</t>
  </si>
  <si>
    <t>Cushion Silicone Butt Cushion Summer Ice Cushion Honeycomb Gel Cushion</t>
  </si>
  <si>
    <t>KSh 1,799</t>
  </si>
  <si>
    <t>7PCS Silicone Thumb Knife Finger Protector Vegetable Harvesting Knife</t>
  </si>
  <si>
    <t>KSh 450</t>
  </si>
  <si>
    <t>Memory Foam Neck Pillow Cover, With Pillow Core - 50*30cm</t>
  </si>
  <si>
    <t>Bedroom Simple Floor Hanging Clothes Rack Single Pole Hat Rack - White</t>
  </si>
  <si>
    <t>KSh 1,920</t>
  </si>
  <si>
    <t>5m Waterproof Spherical LED String Lights Outdoor Ball Chain Lights Party Lighting Decoration Adjustable</t>
  </si>
  <si>
    <t>KSh 2,290</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</si>
  <si>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</si>
  <si>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</si>
  <si>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</si>
  <si>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</si>
  <si>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KSh 537</t>
  </si>
  <si>
    <t>Outdoor Portable Water Bottle With Medicine Box - 600ML - Black</t>
  </si>
  <si>
    <t>KSh 1,288</t>
  </si>
  <si>
    <t>Wall-Mounted Toothbrush Toothpaste Holder With Multiple Slots</t>
  </si>
  <si>
    <t>Multifunctional Hanging Storage Box Storage Bag (4 Layers)</t>
  </si>
  <si>
    <t>KSh 1,100</t>
  </si>
  <si>
    <t>Wall Clock With Hidden Safe Box</t>
  </si>
  <si>
    <t>KSh 1,700</t>
  </si>
  <si>
    <t>Portable Wine Table With Folding Round Table</t>
  </si>
  <si>
    <t>Sewing Machine Needle Threader Stitch Insertion Tool Automatic Quick Sewing</t>
  </si>
  <si>
    <t>KSh 200</t>
  </si>
  <si>
    <t>6 Layers Steel Pipe Assembling Dustproof Storage Shoe Cabinet</t>
  </si>
  <si>
    <t>2PCS Ice Silk Square Cushion Cover Pillowcases - 65x65cm</t>
  </si>
  <si>
    <t>KSh 2,400</t>
  </si>
  <si>
    <t>Wall Mount Automatic Toothpaste Dispenser Toothbrush Holder Toothpaste Squeezer</t>
  </si>
  <si>
    <t>Portable Soap Dispenser Kitchen Detergent Press Box Kitchen Tools</t>
  </si>
  <si>
    <t>4 Piece Coloured Stainless Steel Kitchenware Set</t>
  </si>
  <si>
    <t>KSh 486</t>
  </si>
  <si>
    <t>Metal Wall Clock Silver Dial Crystal Jewelry Round Home Decoration Wall Clock</t>
  </si>
  <si>
    <t>Baby Early Education Shape And Color Cognitive Training Toys</t>
  </si>
  <si>
    <t>KSh 1,029</t>
  </si>
  <si>
    <t>8in1 Screwdriver With LED Light</t>
  </si>
  <si>
    <t>KSh 1,874</t>
  </si>
  <si>
    <t>Konka Healty Electric Kettle, 24-hour Heat Preservation,1.5L,800W, White</t>
  </si>
  <si>
    <t>KSh 4,588</t>
  </si>
  <si>
    <t>9pcs Gas Mask, For Painting, Dust, Formaldehyde Grinding, Polishing</t>
  </si>
  <si>
    <t>KSh 2,420</t>
  </si>
  <si>
    <t>24 Grid Wall-mounted Sundries Organiser Fabric Closet Bag Storage Rack</t>
  </si>
  <si>
    <t>KSh 1,899</t>
  </si>
  <si>
    <t>1PC Refrigerator Food Seal Pocket Fridge Bags</t>
  </si>
  <si>
    <t>KSh 260</t>
  </si>
  <si>
    <t>LED Solar Street Light-fake Camera</t>
  </si>
  <si>
    <t>KSh 1,737</t>
  </si>
  <si>
    <t>Cartoon Embroidered Mini Towel Bear Cotton Wash Cloth Hand 4pcs</t>
  </si>
  <si>
    <t>KSh 1,810</t>
  </si>
  <si>
    <t>Shower Nozzle Cleaning Unclogging Needle Mini Crevice Small Hole Cleaning Brush</t>
  </si>
  <si>
    <t>Thickening Multipurpose Non Stick Easy To Clean Heat Resistant Spoon Pad</t>
  </si>
  <si>
    <t>6 In 1 Bottle Can Opener Multifunctional Easy Opener</t>
  </si>
  <si>
    <t>KSh 553</t>
  </si>
  <si>
    <t>Wall-mounted Sticker Punch-free Plug Fixer</t>
  </si>
  <si>
    <t>2 out of 5</t>
  </si>
  <si>
    <t>Black Simple Water Cup Wine Coaster Anti Slip Absorbent</t>
  </si>
  <si>
    <t>KSh 320</t>
  </si>
  <si>
    <t>field</t>
  </si>
  <si>
    <t>product</t>
  </si>
  <si>
    <t>current price</t>
  </si>
  <si>
    <t>discount percentage</t>
  </si>
  <si>
    <t>review</t>
  </si>
  <si>
    <t>rating</t>
  </si>
  <si>
    <t>column</t>
  </si>
  <si>
    <t>products records</t>
  </si>
  <si>
    <t>missing values</t>
  </si>
  <si>
    <t>Rating</t>
  </si>
  <si>
    <t>Discount Amount</t>
  </si>
  <si>
    <t>rating category</t>
  </si>
  <si>
    <t>Discount category</t>
  </si>
  <si>
    <t>price category</t>
  </si>
  <si>
    <r>
      <t>•</t>
    </r>
    <r>
      <rPr>
        <sz val="7"/>
        <color rgb="FF000000"/>
        <rFont val="Times New Roman"/>
        <family val="1"/>
      </rPr>
      <t xml:space="preserve">              </t>
    </r>
    <r>
      <rPr>
        <sz val="12"/>
        <color rgb="FF000000"/>
        <rFont val="Times New Roman"/>
        <family val="1"/>
      </rPr>
      <t>Average current price of products.</t>
    </r>
  </si>
  <si>
    <r>
      <t>•</t>
    </r>
    <r>
      <rPr>
        <sz val="7"/>
        <color rgb="FF000000"/>
        <rFont val="Times New Roman"/>
        <family val="1"/>
      </rPr>
      <t xml:space="preserve">              </t>
    </r>
    <r>
      <rPr>
        <sz val="12"/>
        <color rgb="FF000000"/>
        <rFont val="Times New Roman"/>
        <family val="1"/>
      </rPr>
      <t>Average old price of products.</t>
    </r>
  </si>
  <si>
    <r>
      <t>•</t>
    </r>
    <r>
      <rPr>
        <sz val="7"/>
        <color rgb="FF000000"/>
        <rFont val="Times New Roman"/>
        <family val="1"/>
      </rPr>
      <t xml:space="preserve">              </t>
    </r>
    <r>
      <rPr>
        <sz val="12"/>
        <color rgb="FF000000"/>
        <rFont val="Times New Roman"/>
        <family val="1"/>
      </rPr>
      <t>Average discount percentage.</t>
    </r>
  </si>
  <si>
    <r>
      <t>•</t>
    </r>
    <r>
      <rPr>
        <sz val="7"/>
        <color rgb="FF000000"/>
        <rFont val="Times New Roman"/>
        <family val="1"/>
      </rPr>
      <t xml:space="preserve">              </t>
    </r>
    <r>
      <rPr>
        <sz val="12"/>
        <color rgb="FF000000"/>
        <rFont val="Times New Roman"/>
        <family val="1"/>
      </rPr>
      <t>Average product rating.</t>
    </r>
  </si>
  <si>
    <r>
      <t>•</t>
    </r>
    <r>
      <rPr>
        <sz val="7"/>
        <color rgb="FF000000"/>
        <rFont val="Times New Roman"/>
        <family val="1"/>
      </rPr>
      <t xml:space="preserve">              </t>
    </r>
    <r>
      <rPr>
        <sz val="12"/>
        <color rgb="FF000000"/>
        <rFont val="Times New Roman"/>
        <family val="1"/>
      </rPr>
      <t>Total number of products.</t>
    </r>
  </si>
  <si>
    <r>
      <t>•</t>
    </r>
    <r>
      <rPr>
        <sz val="7"/>
        <color rgb="FF000000"/>
        <rFont val="Times New Roman"/>
        <family val="1"/>
      </rPr>
      <t xml:space="preserve">              </t>
    </r>
    <r>
      <rPr>
        <sz val="12"/>
        <color rgb="FF000000"/>
        <rFont val="Times New Roman"/>
        <family val="1"/>
      </rPr>
      <t>Total number of reviews.</t>
    </r>
  </si>
  <si>
    <t xml:space="preserve">most expensive product </t>
  </si>
  <si>
    <t>least expensive product</t>
  </si>
  <si>
    <t xml:space="preserve">TOP 10 PRODUCTS WITH THE HIGHEST DISCOUNTS </t>
  </si>
  <si>
    <t>PRODUCTS</t>
  </si>
  <si>
    <t>DISCOUNT</t>
  </si>
  <si>
    <t>TOP 10 PRODUCTS WITH THE HIGHEST REVIEWS</t>
  </si>
  <si>
    <t xml:space="preserve">PRODUCTS </t>
  </si>
  <si>
    <t>REVIEWS</t>
  </si>
  <si>
    <t>TOP 10 HIGHEST RATED PRODUCTS</t>
  </si>
  <si>
    <t>RATING</t>
  </si>
  <si>
    <t>PRODUCTS WITH THE HIGHEST DISCOUNT BUT LOW RATINGS</t>
  </si>
  <si>
    <t>PRODUCTS WITH A STRONG CUSTOMER ENGAGEMENT</t>
  </si>
  <si>
    <t xml:space="preserve">REVIEWS </t>
  </si>
  <si>
    <t>DISCOUNT VS CUSTOMER REVIEW</t>
  </si>
  <si>
    <t>CORRELATION</t>
  </si>
  <si>
    <t xml:space="preserve">the rlationship is very weak and negative </t>
  </si>
  <si>
    <t xml:space="preserve">RATING VS CUSTOMER REVIEWS </t>
  </si>
  <si>
    <t>the relationship is very weak and positive ;highly rated products do not consistently receive more reviews</t>
  </si>
  <si>
    <t xml:space="preserve">PRICE VS PRODUCT RATING </t>
  </si>
  <si>
    <t>the relationship is very weak and positive ,expensive products are not consistently rated higher.</t>
  </si>
  <si>
    <t xml:space="preserve">TOP 5 HIGHEST RATED PRODUCTS </t>
  </si>
  <si>
    <t xml:space="preserve">TOP 5 LOWEST RATED PRODUCTS </t>
  </si>
  <si>
    <t xml:space="preserve">PRODUCTS WITH MANY REVIEWS BUT AVERAGE RATINGS </t>
  </si>
  <si>
    <t>HIGH DISCOUNT BUT LOW CUSTOMER ENGAGEMENT</t>
  </si>
  <si>
    <t xml:space="preserve">DISCOUNT </t>
  </si>
  <si>
    <t>REVIEW</t>
  </si>
  <si>
    <t>PRODUCTS REQUIRING PRICING OR MARKETING ACTION</t>
  </si>
  <si>
    <t xml:space="preserve">RATING </t>
  </si>
  <si>
    <t xml:space="preserve">RECOMMENDATION ACTION </t>
  </si>
  <si>
    <t>Sum of Review</t>
  </si>
  <si>
    <t>Average of Current price</t>
  </si>
  <si>
    <t>Average of Discount</t>
  </si>
  <si>
    <t>Average of Rating</t>
  </si>
  <si>
    <t>Row Labels</t>
  </si>
  <si>
    <t>Grand Total</t>
  </si>
  <si>
    <t>Count of Product</t>
  </si>
  <si>
    <t>Low Price</t>
  </si>
  <si>
    <t>Average</t>
  </si>
  <si>
    <t>Average of Review</t>
  </si>
  <si>
    <r>
      <t>Do highly rated products have higher or lower prices?</t>
    </r>
    <r>
      <rPr>
        <sz val="11"/>
        <color theme="1"/>
        <rFont val="Aptos Narrow"/>
        <family val="2"/>
        <scheme val="minor"/>
      </rPr>
      <t xml:space="preserve"> Neither, meaningfully — price and rating are only weakly related in this dataset.</t>
    </r>
  </si>
  <si>
    <r>
      <t>Which products are performing best?</t>
    </r>
    <r>
      <rPr>
        <sz val="11"/>
        <color theme="1"/>
        <rFont val="Aptos Narrow"/>
        <family val="2"/>
        <scheme val="minor"/>
      </rPr>
      <t xml:space="preserve"> Crochet/knitting kits, cake-decorating sets, and cleaning gadgets — these combine solid ratings (4.1–4.7) with genuine review volume.</t>
    </r>
  </si>
  <si>
    <t>Recommendations for Jumia sellers:</t>
  </si>
  <si>
    <t>1. Reallocate discount budget away from blanket deep discounts toward better listing content (photos, descriptions) and promotion for categories with proven demand.</t>
  </si>
  <si>
    <t>2. Audit and fix or delist the 13 high-discount/low-rating products.</t>
  </si>
  <si>
    <t>3. Actively solicit reviews on high-rating, low-review products to unlock visible social proof they already deserve.</t>
  </si>
  <si>
    <t>4. Close the review/rating data gap platform-wide — it currently blocks sound pricing decisions for nearly half the catalog.</t>
  </si>
  <si>
    <r>
      <t>Are higher discounts leading to higher customer engagement?</t>
    </r>
    <r>
      <rPr>
        <sz val="11"/>
        <color theme="1"/>
        <rFont val="Aptos Narrow"/>
        <family val="2"/>
        <scheme val="minor"/>
      </rPr>
      <t xml:space="preserve"> No ,the data shows no meaningful correlation; deep discounts are not the lever driving reviews.</t>
    </r>
  </si>
  <si>
    <r>
      <t>Which products need improved pricing strategy?</t>
    </r>
    <r>
      <rPr>
        <sz val="11"/>
        <color theme="1"/>
        <rFont val="Aptos Narrow"/>
        <family val="2"/>
        <scheme val="minor"/>
      </rPr>
      <t xml:space="preserve"> The 13 "high discount / low rating" products (discounting isn't fixing an underlying quality problem), and separately, a cluster of 5 star rated products with almost no reviews that are under-marketed rather than under-priced.</t>
    </r>
  </si>
  <si>
    <t>bussiness insights  &amp; Recommendations</t>
  </si>
  <si>
    <t>High Discount</t>
  </si>
  <si>
    <t xml:space="preserve"> 1,620 -  1,980</t>
  </si>
  <si>
    <t>Medium Price</t>
  </si>
  <si>
    <t>Excellent</t>
  </si>
  <si>
    <t>High Price</t>
  </si>
  <si>
    <t>Poor</t>
  </si>
  <si>
    <t>Medium Discount</t>
  </si>
  <si>
    <t>Low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</si>
</sst>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7030A0"/>
      <name val="Aptos Narrow"/>
      <family val="2"/>
      <scheme val="minor"/>
    </font>
    <font>
      <sz val="11"/>
      <color theme="2" tint="-0.89999084444715716"/>
      <name val="Courier New"/>
      <family val="3"/>
    </font>
    <font>
      <sz val="12"/>
      <color rgb="FF000000"/>
      <name val="Times New Roman"/>
      <family val="1"/>
    </font>
    <font>
      <sz val="7"/>
      <color rgb="FF000000"/>
      <name val="Times New Roman"/>
      <family val="1"/>
    </font>
    <font>
      <b/>
      <sz val="11"/>
      <color rgb="FFFF0000"/>
      <name val="Aptos Narrow"/>
      <family val="2"/>
      <scheme val="minor"/>
    </font>
    <font>
      <b/>
      <sz val="18"/>
      <color theme="1"/>
      <name val="Aptos Narrow"/>
      <family val="2"/>
      <scheme val="minor"/>
    </font>
    <font>
      <b/>
      <sz val="2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666666"/>
      </left>
      <right style="medium">
        <color rgb="FF666666"/>
      </right>
      <top style="medium">
        <color rgb="FF666666"/>
      </top>
      <bottom style="medium">
        <color rgb="FF666666"/>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9" fontId="0" fillId="0" borderId="0" xfId="0" applyNumberFormat="1"/>
    <xf numFmtId="2" fontId="0" fillId="0" borderId="0" xfId="0" applyNumberFormat="1"/>
    <xf numFmtId="0" fontId="16" fillId="0" borderId="0" xfId="0" applyFont="1"/>
    <xf numFmtId="164" fontId="0" fillId="0" borderId="0" xfId="0" applyNumberFormat="1"/>
    <xf numFmtId="1" fontId="0" fillId="0" borderId="0" xfId="0" applyNumberFormat="1"/>
    <xf numFmtId="1" fontId="19" fillId="0" borderId="0" xfId="0" applyNumberFormat="1" applyFont="1"/>
    <xf numFmtId="1" fontId="14" fillId="0" borderId="0" xfId="0" applyNumberFormat="1" applyFont="1"/>
    <xf numFmtId="1" fontId="0" fillId="0" borderId="10" xfId="0" applyNumberFormat="1" applyBorder="1"/>
    <xf numFmtId="0" fontId="20" fillId="0" borderId="0" xfId="0" applyFont="1"/>
    <xf numFmtId="0" fontId="0" fillId="0" borderId="10" xfId="0" applyBorder="1"/>
    <xf numFmtId="0" fontId="20" fillId="0" borderId="0" xfId="0" applyFont="1" applyAlignment="1">
      <alignment vertical="center"/>
    </xf>
    <xf numFmtId="0" fontId="21" fillId="0" borderId="0" xfId="0" applyFont="1"/>
    <xf numFmtId="0" fontId="21" fillId="0" borderId="0" xfId="0" applyFont="1" applyAlignment="1">
      <alignment horizontal="left" vertical="center" indent="1"/>
    </xf>
    <xf numFmtId="9" fontId="0" fillId="0" borderId="0" xfId="42" applyFont="1"/>
    <xf numFmtId="0" fontId="23" fillId="0" borderId="0" xfId="0" applyFont="1"/>
    <xf numFmtId="0" fontId="0" fillId="33" borderId="0" xfId="0" applyFill="1"/>
    <xf numFmtId="9" fontId="0" fillId="33" borderId="0" xfId="42" applyFont="1" applyFill="1"/>
    <xf numFmtId="0" fontId="23" fillId="0" borderId="0" xfId="0" applyFont="1" applyAlignment="1">
      <alignment horizontal="right" indent="43"/>
    </xf>
    <xf numFmtId="0" fontId="14" fillId="0" borderId="0" xfId="0" applyFont="1"/>
    <xf numFmtId="164" fontId="0" fillId="0" borderId="0" xfId="42" applyNumberFormat="1" applyFont="1"/>
    <xf numFmtId="1" fontId="0" fillId="0" borderId="0" xfId="42" applyNumberFormat="1" applyFont="1"/>
    <xf numFmtId="0" fontId="0" fillId="0" borderId="0" xfId="0" pivotButton="1"/>
    <xf numFmtId="0" fontId="0" fillId="0" borderId="0" xfId="0" applyAlignment="1">
      <alignment horizontal="left"/>
    </xf>
    <xf numFmtId="0" fontId="24"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0" fontId="25" fillId="0" borderId="0" xfId="0" applyFont="1"/>
    <xf numFmtId="0" fontId="0" fillId="0" borderId="0" xfId="0" applyNumberFormat="1"/>
    <xf numFmtId="0" fontId="0" fillId="0" borderId="0" xfId="0">
      <extLst>
        <ext xmlns:xfpb="http://schemas.microsoft.com/office/spreadsheetml/2022/featurepropertybag" uri="{C7286773-470A-42A8-94C5-96B5CB345126}">
          <xfpb:xfComplement i="0"/>
        </ext>
      </extLs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2">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3" formatCode="0%"/>
    </dxf>
    <dxf>
      <numFmt numFmtId="13"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CUSTOMER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133843248134756E-2"/>
          <c:y val="0.17634259259259263"/>
          <c:w val="0.8976832295104743"/>
          <c:h val="0.72125801983085447"/>
        </c:manualLayout>
      </c:layout>
      <c:scatterChart>
        <c:scatterStyle val="lineMarker"/>
        <c:varyColors val="0"/>
        <c:ser>
          <c:idx val="0"/>
          <c:order val="0"/>
          <c:tx>
            <c:strRef>
              <c:f>'cleaned products'!$H$1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products'!$G$2:$G$116</c:f>
              <c:numCache>
                <c:formatCode>0%</c:formatCode>
                <c:ptCount val="115"/>
                <c:pt idx="0">
                  <c:v>0.39</c:v>
                </c:pt>
                <c:pt idx="1">
                  <c:v>0.21</c:v>
                </c:pt>
                <c:pt idx="2">
                  <c:v>0.04</c:v>
                </c:pt>
                <c:pt idx="3">
                  <c:v>0.09</c:v>
                </c:pt>
                <c:pt idx="4">
                  <c:v>0.19</c:v>
                </c:pt>
                <c:pt idx="5">
                  <c:v>0.18</c:v>
                </c:pt>
                <c:pt idx="6">
                  <c:v>0.27</c:v>
                </c:pt>
                <c:pt idx="7">
                  <c:v>0.38</c:v>
                </c:pt>
                <c:pt idx="8">
                  <c:v>0.24</c:v>
                </c:pt>
                <c:pt idx="9">
                  <c:v>0.28999999999999998</c:v>
                </c:pt>
                <c:pt idx="10">
                  <c:v>0.46</c:v>
                </c:pt>
                <c:pt idx="11">
                  <c:v>0.25</c:v>
                </c:pt>
                <c:pt idx="12">
                  <c:v>0.13</c:v>
                </c:pt>
                <c:pt idx="13">
                  <c:v>0.02</c:v>
                </c:pt>
                <c:pt idx="14">
                  <c:v>0.55000000000000004</c:v>
                </c:pt>
                <c:pt idx="15">
                  <c:v>0.54</c:v>
                </c:pt>
                <c:pt idx="16">
                  <c:v>0.49</c:v>
                </c:pt>
                <c:pt idx="17">
                  <c:v>0.27</c:v>
                </c:pt>
                <c:pt idx="18">
                  <c:v>0.27</c:v>
                </c:pt>
                <c:pt idx="19">
                  <c:v>0.01</c:v>
                </c:pt>
                <c:pt idx="20">
                  <c:v>0.42</c:v>
                </c:pt>
                <c:pt idx="21">
                  <c:v>0.48</c:v>
                </c:pt>
                <c:pt idx="22">
                  <c:v>0.38</c:v>
                </c:pt>
                <c:pt idx="23">
                  <c:v>0.02</c:v>
                </c:pt>
                <c:pt idx="24">
                  <c:v>0.3</c:v>
                </c:pt>
                <c:pt idx="25">
                  <c:v>0.26</c:v>
                </c:pt>
                <c:pt idx="26">
                  <c:v>0.04</c:v>
                </c:pt>
                <c:pt idx="27">
                  <c:v>0.33</c:v>
                </c:pt>
                <c:pt idx="28">
                  <c:v>0.02</c:v>
                </c:pt>
                <c:pt idx="29">
                  <c:v>0.02</c:v>
                </c:pt>
                <c:pt idx="30">
                  <c:v>0.02</c:v>
                </c:pt>
                <c:pt idx="31">
                  <c:v>0.23</c:v>
                </c:pt>
                <c:pt idx="32">
                  <c:v>0.4</c:v>
                </c:pt>
                <c:pt idx="33">
                  <c:v>0.45</c:v>
                </c:pt>
                <c:pt idx="34">
                  <c:v>0.37</c:v>
                </c:pt>
                <c:pt idx="35">
                  <c:v>0.47</c:v>
                </c:pt>
                <c:pt idx="36">
                  <c:v>0.08</c:v>
                </c:pt>
                <c:pt idx="37">
                  <c:v>0.14000000000000001</c:v>
                </c:pt>
                <c:pt idx="38">
                  <c:v>0.14000000000000001</c:v>
                </c:pt>
                <c:pt idx="39">
                  <c:v>0.02</c:v>
                </c:pt>
                <c:pt idx="40">
                  <c:v>0.36</c:v>
                </c:pt>
                <c:pt idx="41">
                  <c:v>0.03</c:v>
                </c:pt>
                <c:pt idx="42">
                  <c:v>0.41</c:v>
                </c:pt>
                <c:pt idx="43">
                  <c:v>0.32</c:v>
                </c:pt>
                <c:pt idx="44">
                  <c:v>0.48</c:v>
                </c:pt>
                <c:pt idx="45">
                  <c:v>0.55000000000000004</c:v>
                </c:pt>
                <c:pt idx="46">
                  <c:v>0.22</c:v>
                </c:pt>
                <c:pt idx="47">
                  <c:v>0.38</c:v>
                </c:pt>
                <c:pt idx="48">
                  <c:v>0.5</c:v>
                </c:pt>
                <c:pt idx="49">
                  <c:v>0.33</c:v>
                </c:pt>
                <c:pt idx="50">
                  <c:v>0.34</c:v>
                </c:pt>
                <c:pt idx="51">
                  <c:v>0.46</c:v>
                </c:pt>
                <c:pt idx="52">
                  <c:v>0.34</c:v>
                </c:pt>
                <c:pt idx="53">
                  <c:v>0.42</c:v>
                </c:pt>
                <c:pt idx="54">
                  <c:v>0.5</c:v>
                </c:pt>
                <c:pt idx="55">
                  <c:v>0.5</c:v>
                </c:pt>
                <c:pt idx="56">
                  <c:v>0.49</c:v>
                </c:pt>
                <c:pt idx="57">
                  <c:v>0.34</c:v>
                </c:pt>
                <c:pt idx="58">
                  <c:v>0.45</c:v>
                </c:pt>
                <c:pt idx="59">
                  <c:v>0.37</c:v>
                </c:pt>
                <c:pt idx="60">
                  <c:v>0.34</c:v>
                </c:pt>
                <c:pt idx="61">
                  <c:v>0.49</c:v>
                </c:pt>
                <c:pt idx="62">
                  <c:v>0.47</c:v>
                </c:pt>
                <c:pt idx="63">
                  <c:v>0.38</c:v>
                </c:pt>
                <c:pt idx="64">
                  <c:v>0.47</c:v>
                </c:pt>
                <c:pt idx="65">
                  <c:v>0.47</c:v>
                </c:pt>
                <c:pt idx="66">
                  <c:v>0.35</c:v>
                </c:pt>
                <c:pt idx="67">
                  <c:v>0.5</c:v>
                </c:pt>
                <c:pt idx="68">
                  <c:v>0.2</c:v>
                </c:pt>
                <c:pt idx="69">
                  <c:v>0.41</c:v>
                </c:pt>
                <c:pt idx="70">
                  <c:v>0.49</c:v>
                </c:pt>
                <c:pt idx="71">
                  <c:v>0.11</c:v>
                </c:pt>
                <c:pt idx="72">
                  <c:v>0.47</c:v>
                </c:pt>
                <c:pt idx="73">
                  <c:v>0.48</c:v>
                </c:pt>
                <c:pt idx="74">
                  <c:v>0.43</c:v>
                </c:pt>
                <c:pt idx="75">
                  <c:v>0.49</c:v>
                </c:pt>
                <c:pt idx="76">
                  <c:v>0.49</c:v>
                </c:pt>
                <c:pt idx="77">
                  <c:v>0.43</c:v>
                </c:pt>
                <c:pt idx="78">
                  <c:v>0.42</c:v>
                </c:pt>
                <c:pt idx="79">
                  <c:v>0.42</c:v>
                </c:pt>
                <c:pt idx="80">
                  <c:v>0.42</c:v>
                </c:pt>
                <c:pt idx="81">
                  <c:v>0.47</c:v>
                </c:pt>
                <c:pt idx="82">
                  <c:v>0.47</c:v>
                </c:pt>
                <c:pt idx="83">
                  <c:v>0.49</c:v>
                </c:pt>
                <c:pt idx="84">
                  <c:v>0.43</c:v>
                </c:pt>
                <c:pt idx="85">
                  <c:v>0.42</c:v>
                </c:pt>
                <c:pt idx="86">
                  <c:v>0.45</c:v>
                </c:pt>
                <c:pt idx="87">
                  <c:v>0.49</c:v>
                </c:pt>
                <c:pt idx="88">
                  <c:v>0.54</c:v>
                </c:pt>
                <c:pt idx="89">
                  <c:v>0.5</c:v>
                </c:pt>
                <c:pt idx="90">
                  <c:v>0.49</c:v>
                </c:pt>
                <c:pt idx="91">
                  <c:v>0.35</c:v>
                </c:pt>
                <c:pt idx="92">
                  <c:v>0.55000000000000004</c:v>
                </c:pt>
                <c:pt idx="93">
                  <c:v>0.41</c:v>
                </c:pt>
                <c:pt idx="94">
                  <c:v>0.45</c:v>
                </c:pt>
                <c:pt idx="95">
                  <c:v>0.43</c:v>
                </c:pt>
                <c:pt idx="96">
                  <c:v>0.51</c:v>
                </c:pt>
                <c:pt idx="97">
                  <c:v>0.49</c:v>
                </c:pt>
                <c:pt idx="98">
                  <c:v>0.52</c:v>
                </c:pt>
                <c:pt idx="99">
                  <c:v>0.5</c:v>
                </c:pt>
                <c:pt idx="100">
                  <c:v>0.22</c:v>
                </c:pt>
                <c:pt idx="101">
                  <c:v>0.49</c:v>
                </c:pt>
                <c:pt idx="102">
                  <c:v>0.49</c:v>
                </c:pt>
                <c:pt idx="103">
                  <c:v>0.5</c:v>
                </c:pt>
                <c:pt idx="104">
                  <c:v>0.49</c:v>
                </c:pt>
                <c:pt idx="105">
                  <c:v>0.61</c:v>
                </c:pt>
                <c:pt idx="106">
                  <c:v>0.64</c:v>
                </c:pt>
                <c:pt idx="107">
                  <c:v>0.24</c:v>
                </c:pt>
                <c:pt idx="108">
                  <c:v>0.46</c:v>
                </c:pt>
                <c:pt idx="109">
                  <c:v>0.52</c:v>
                </c:pt>
                <c:pt idx="110">
                  <c:v>0.49</c:v>
                </c:pt>
                <c:pt idx="111">
                  <c:v>0.53</c:v>
                </c:pt>
                <c:pt idx="112">
                  <c:v>0.47</c:v>
                </c:pt>
                <c:pt idx="113">
                  <c:v>0.48</c:v>
                </c:pt>
                <c:pt idx="114">
                  <c:v>0.53</c:v>
                </c:pt>
              </c:numCache>
            </c:numRef>
          </c:xVal>
          <c:yVal>
            <c:numRef>
              <c:f>'cleaned products'!$H$2:$H$116</c:f>
              <c:numCache>
                <c:formatCode>General</c:formatCode>
                <c:ptCount val="115"/>
                <c:pt idx="0">
                  <c:v>5</c:v>
                </c:pt>
                <c:pt idx="1">
                  <c:v>1</c:v>
                </c:pt>
                <c:pt idx="3">
                  <c:v>15</c:v>
                </c:pt>
                <c:pt idx="4">
                  <c:v>5</c:v>
                </c:pt>
                <c:pt idx="5">
                  <c:v>12</c:v>
                </c:pt>
                <c:pt idx="8">
                  <c:v>55</c:v>
                </c:pt>
                <c:pt idx="9">
                  <c:v>5</c:v>
                </c:pt>
                <c:pt idx="11">
                  <c:v>24</c:v>
                </c:pt>
                <c:pt idx="12">
                  <c:v>6</c:v>
                </c:pt>
                <c:pt idx="14">
                  <c:v>13</c:v>
                </c:pt>
                <c:pt idx="15">
                  <c:v>7</c:v>
                </c:pt>
                <c:pt idx="16">
                  <c:v>3</c:v>
                </c:pt>
                <c:pt idx="17">
                  <c:v>32</c:v>
                </c:pt>
                <c:pt idx="18">
                  <c:v>20</c:v>
                </c:pt>
                <c:pt idx="21">
                  <c:v>9</c:v>
                </c:pt>
                <c:pt idx="22">
                  <c:v>2</c:v>
                </c:pt>
                <c:pt idx="24">
                  <c:v>20</c:v>
                </c:pt>
                <c:pt idx="25">
                  <c:v>5</c:v>
                </c:pt>
                <c:pt idx="27">
                  <c:v>9</c:v>
                </c:pt>
                <c:pt idx="31">
                  <c:v>14</c:v>
                </c:pt>
                <c:pt idx="32">
                  <c:v>1</c:v>
                </c:pt>
                <c:pt idx="33">
                  <c:v>5</c:v>
                </c:pt>
                <c:pt idx="34">
                  <c:v>7</c:v>
                </c:pt>
                <c:pt idx="35">
                  <c:v>7</c:v>
                </c:pt>
                <c:pt idx="43">
                  <c:v>13</c:v>
                </c:pt>
                <c:pt idx="45">
                  <c:v>5</c:v>
                </c:pt>
                <c:pt idx="46">
                  <c:v>16</c:v>
                </c:pt>
                <c:pt idx="51">
                  <c:v>1</c:v>
                </c:pt>
                <c:pt idx="54">
                  <c:v>7</c:v>
                </c:pt>
                <c:pt idx="56">
                  <c:v>44</c:v>
                </c:pt>
                <c:pt idx="57">
                  <c:v>39</c:v>
                </c:pt>
                <c:pt idx="58">
                  <c:v>6</c:v>
                </c:pt>
                <c:pt idx="59">
                  <c:v>2</c:v>
                </c:pt>
                <c:pt idx="60">
                  <c:v>12</c:v>
                </c:pt>
                <c:pt idx="61">
                  <c:v>1</c:v>
                </c:pt>
                <c:pt idx="62">
                  <c:v>6</c:v>
                </c:pt>
                <c:pt idx="63">
                  <c:v>2</c:v>
                </c:pt>
                <c:pt idx="66">
                  <c:v>6</c:v>
                </c:pt>
                <c:pt idx="68">
                  <c:v>12</c:v>
                </c:pt>
                <c:pt idx="81">
                  <c:v>12</c:v>
                </c:pt>
                <c:pt idx="82">
                  <c:v>14</c:v>
                </c:pt>
                <c:pt idx="84">
                  <c:v>5</c:v>
                </c:pt>
                <c:pt idx="85">
                  <c:v>6</c:v>
                </c:pt>
                <c:pt idx="88">
                  <c:v>10</c:v>
                </c:pt>
                <c:pt idx="89">
                  <c:v>1</c:v>
                </c:pt>
                <c:pt idx="90">
                  <c:v>69</c:v>
                </c:pt>
                <c:pt idx="91">
                  <c:v>49</c:v>
                </c:pt>
                <c:pt idx="93">
                  <c:v>36</c:v>
                </c:pt>
                <c:pt idx="94">
                  <c:v>17</c:v>
                </c:pt>
                <c:pt idx="95">
                  <c:v>6</c:v>
                </c:pt>
                <c:pt idx="96">
                  <c:v>2</c:v>
                </c:pt>
                <c:pt idx="97">
                  <c:v>1</c:v>
                </c:pt>
                <c:pt idx="98">
                  <c:v>15</c:v>
                </c:pt>
                <c:pt idx="108">
                  <c:v>2</c:v>
                </c:pt>
                <c:pt idx="109">
                  <c:v>9</c:v>
                </c:pt>
                <c:pt idx="111">
                  <c:v>2</c:v>
                </c:pt>
                <c:pt idx="114">
                  <c:v>13</c:v>
                </c:pt>
              </c:numCache>
            </c:numRef>
          </c:yVal>
          <c:smooth val="0"/>
          <c:extLst>
            <c:ext xmlns:c16="http://schemas.microsoft.com/office/drawing/2014/chart" uri="{C3380CC4-5D6E-409C-BE32-E72D297353CC}">
              <c16:uniqueId val="{00000001-512C-4BD1-9782-7F9330BD8D4C}"/>
            </c:ext>
          </c:extLst>
        </c:ser>
        <c:dLbls>
          <c:showLegendKey val="0"/>
          <c:showVal val="0"/>
          <c:showCatName val="0"/>
          <c:showSerName val="0"/>
          <c:showPercent val="0"/>
          <c:showBubbleSize val="0"/>
        </c:dLbls>
        <c:axId val="2116708943"/>
        <c:axId val="1084806511"/>
      </c:scatterChart>
      <c:valAx>
        <c:axId val="2116708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06511"/>
        <c:crosses val="autoZero"/>
        <c:crossBetween val="midCat"/>
      </c:valAx>
      <c:valAx>
        <c:axId val="108480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08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JUMIA PROJECT.xlsx]pivot tables !PivotTable6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REVIEWS</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'!$B$16</c:f>
              <c:strCache>
                <c:ptCount val="1"/>
                <c:pt idx="0">
                  <c:v>Total</c:v>
                </c:pt>
              </c:strCache>
            </c:strRef>
          </c:tx>
          <c:spPr>
            <a:solidFill>
              <a:schemeClr val="accent1"/>
            </a:solidFill>
            <a:ln>
              <a:noFill/>
            </a:ln>
            <a:effectLst/>
          </c:spPr>
          <c:invertIfNegative val="0"/>
          <c:cat>
            <c:strRef>
              <c:f>'pivot tables '!$A$17:$A$20</c:f>
              <c:strCache>
                <c:ptCount val="3"/>
                <c:pt idx="0">
                  <c:v>High Discount</c:v>
                </c:pt>
                <c:pt idx="1">
                  <c:v>Low Discount</c:v>
                </c:pt>
                <c:pt idx="2">
                  <c:v>Medium Discount</c:v>
                </c:pt>
              </c:strCache>
            </c:strRef>
          </c:cat>
          <c:val>
            <c:numRef>
              <c:f>'pivot tables '!$B$17:$B$20</c:f>
              <c:numCache>
                <c:formatCode>0.0</c:formatCode>
                <c:ptCount val="3"/>
                <c:pt idx="0">
                  <c:v>11.133333333333333</c:v>
                </c:pt>
                <c:pt idx="1">
                  <c:v>9.5</c:v>
                </c:pt>
                <c:pt idx="2">
                  <c:v>15.260869565217391</c:v>
                </c:pt>
              </c:numCache>
            </c:numRef>
          </c:val>
          <c:extLst>
            <c:ext xmlns:c16="http://schemas.microsoft.com/office/drawing/2014/chart" uri="{C3380CC4-5D6E-409C-BE32-E72D297353CC}">
              <c16:uniqueId val="{00000000-79FB-4EF4-88C4-31C020BCD02A}"/>
            </c:ext>
          </c:extLst>
        </c:ser>
        <c:dLbls>
          <c:showLegendKey val="0"/>
          <c:showVal val="0"/>
          <c:showCatName val="0"/>
          <c:showSerName val="0"/>
          <c:showPercent val="0"/>
          <c:showBubbleSize val="0"/>
        </c:dLbls>
        <c:gapWidth val="219"/>
        <c:overlap val="-27"/>
        <c:axId val="1309456879"/>
        <c:axId val="1084995631"/>
      </c:barChart>
      <c:catAx>
        <c:axId val="130945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995631"/>
        <c:crosses val="autoZero"/>
        <c:auto val="1"/>
        <c:lblAlgn val="ctr"/>
        <c:lblOffset val="100"/>
        <c:noMultiLvlLbl val="0"/>
      </c:catAx>
      <c:valAx>
        <c:axId val="10849956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5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JUMIA PROJECT.xlsx]pivot tables !PivotTable7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REVIEWS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'!$E$16</c:f>
              <c:strCache>
                <c:ptCount val="1"/>
                <c:pt idx="0">
                  <c:v>Total</c:v>
                </c:pt>
              </c:strCache>
            </c:strRef>
          </c:tx>
          <c:spPr>
            <a:solidFill>
              <a:schemeClr val="accent1"/>
            </a:solidFill>
            <a:ln>
              <a:noFill/>
            </a:ln>
            <a:effectLst/>
          </c:spPr>
          <c:invertIfNegative val="0"/>
          <c:cat>
            <c:strRef>
              <c:f>'pivot tables '!$D$17:$D$20</c:f>
              <c:strCache>
                <c:ptCount val="3"/>
                <c:pt idx="0">
                  <c:v>Average</c:v>
                </c:pt>
                <c:pt idx="1">
                  <c:v>Excellent</c:v>
                </c:pt>
                <c:pt idx="2">
                  <c:v>Poor</c:v>
                </c:pt>
              </c:strCache>
            </c:strRef>
          </c:cat>
          <c:val>
            <c:numRef>
              <c:f>'pivot tables '!$E$17:$E$20</c:f>
              <c:numCache>
                <c:formatCode>0.0</c:formatCode>
                <c:ptCount val="3"/>
                <c:pt idx="0">
                  <c:v>7.666666666666667</c:v>
                </c:pt>
                <c:pt idx="1">
                  <c:v>13.472222222222221</c:v>
                </c:pt>
                <c:pt idx="2">
                  <c:v>14.083333333333334</c:v>
                </c:pt>
              </c:numCache>
            </c:numRef>
          </c:val>
          <c:extLst>
            <c:ext xmlns:c16="http://schemas.microsoft.com/office/drawing/2014/chart" uri="{C3380CC4-5D6E-409C-BE32-E72D297353CC}">
              <c16:uniqueId val="{00000000-450D-4070-9183-E0B1AEFEC42A}"/>
            </c:ext>
          </c:extLst>
        </c:ser>
        <c:dLbls>
          <c:showLegendKey val="0"/>
          <c:showVal val="0"/>
          <c:showCatName val="0"/>
          <c:showSerName val="0"/>
          <c:showPercent val="0"/>
          <c:showBubbleSize val="0"/>
        </c:dLbls>
        <c:gapWidth val="182"/>
        <c:axId val="1268607887"/>
        <c:axId val="1084962991"/>
      </c:barChart>
      <c:catAx>
        <c:axId val="126860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962991"/>
        <c:crosses val="autoZero"/>
        <c:auto val="1"/>
        <c:lblAlgn val="ctr"/>
        <c:lblOffset val="100"/>
        <c:noMultiLvlLbl val="0"/>
      </c:catAx>
      <c:valAx>
        <c:axId val="10849629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60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JUMIA PROJECT.xlsx]pivot tables !PivotTable8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PRICE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'!$H$16</c:f>
              <c:strCache>
                <c:ptCount val="1"/>
                <c:pt idx="0">
                  <c:v>Total</c:v>
                </c:pt>
              </c:strCache>
            </c:strRef>
          </c:tx>
          <c:spPr>
            <a:solidFill>
              <a:schemeClr val="accent1"/>
            </a:solidFill>
            <a:ln>
              <a:noFill/>
            </a:ln>
            <a:effectLst/>
          </c:spPr>
          <c:invertIfNegative val="0"/>
          <c:cat>
            <c:strRef>
              <c:f>'pivot tables '!$G$17:$G$20</c:f>
              <c:strCache>
                <c:ptCount val="3"/>
                <c:pt idx="0">
                  <c:v>High Price</c:v>
                </c:pt>
                <c:pt idx="1">
                  <c:v>Low Price</c:v>
                </c:pt>
                <c:pt idx="2">
                  <c:v>Medium Price</c:v>
                </c:pt>
              </c:strCache>
            </c:strRef>
          </c:cat>
          <c:val>
            <c:numRef>
              <c:f>'pivot tables '!$H$17:$H$20</c:f>
              <c:numCache>
                <c:formatCode>0.0</c:formatCode>
                <c:ptCount val="3"/>
                <c:pt idx="0">
                  <c:v>3.875</c:v>
                </c:pt>
                <c:pt idx="1">
                  <c:v>3.6357142857142857</c:v>
                </c:pt>
                <c:pt idx="2">
                  <c:v>4.0096774193548379</c:v>
                </c:pt>
              </c:numCache>
            </c:numRef>
          </c:val>
          <c:extLst>
            <c:ext xmlns:c16="http://schemas.microsoft.com/office/drawing/2014/chart" uri="{C3380CC4-5D6E-409C-BE32-E72D297353CC}">
              <c16:uniqueId val="{00000000-8FA1-4642-B9D0-6D7737566601}"/>
            </c:ext>
          </c:extLst>
        </c:ser>
        <c:dLbls>
          <c:showLegendKey val="0"/>
          <c:showVal val="0"/>
          <c:showCatName val="0"/>
          <c:showSerName val="0"/>
          <c:showPercent val="0"/>
          <c:showBubbleSize val="0"/>
        </c:dLbls>
        <c:gapWidth val="182"/>
        <c:axId val="1079379983"/>
        <c:axId val="1121132591"/>
      </c:barChart>
      <c:catAx>
        <c:axId val="107937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32591"/>
        <c:crosses val="autoZero"/>
        <c:auto val="1"/>
        <c:lblAlgn val="ctr"/>
        <c:lblOffset val="100"/>
        <c:noMultiLvlLbl val="0"/>
      </c:catAx>
      <c:valAx>
        <c:axId val="11211325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7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'cleaned products'!$N$44:$N$53</c:f>
              <c:strCache>
                <c:ptCount val="10"/>
                <c:pt idx="0">
                  <c:v>Konka Healty Electric Kettle, 24-hour Heat Preservation,1.5L,800W, White</c:v>
                </c:pt>
                <c:pt idx="1">
                  <c:v>LASA Aluminum Folding Truck Hand Cart - 68kg Max</c:v>
                </c:pt>
                <c:pt idx="2">
                  <c:v>DIY File Folder, Office Drawer File Holder, Pen Holder, Desktop Storage Rack</c:v>
                </c:pt>
                <c:pt idx="3">
                  <c:v>Bedroom Simple Floor Hanging Clothes Rack Single Pole Hat Rack - White</c:v>
                </c:pt>
                <c:pt idx="4">
                  <c:v>Anti-Skid Absorbent Insulation Coaster  For Home Office</c:v>
                </c:pt>
                <c:pt idx="5">
                  <c:v>Portable Home Small Air Humidifier 3-Speed Fan - Green</c:v>
                </c:pt>
                <c:pt idx="6">
                  <c:v>LASA FOLDING TABLE SERVING STAND</c:v>
                </c:pt>
                <c:pt idx="7">
                  <c:v>40cm Gold DIY Acrylic Wall Sticker Clock</c:v>
                </c:pt>
                <c:pt idx="8">
                  <c:v>53Pcs/Set Yarn Knitting Crochet Hooks With Bag - Fortune Cat</c:v>
                </c:pt>
                <c:pt idx="9">
                  <c:v>Weighing Scale Digital Bathroom Body Fat Scale USB-Black</c:v>
                </c:pt>
              </c:strCache>
            </c:strRef>
          </c:cat>
          <c:val>
            <c:numRef>
              <c:f>'cleaned products'!$O$44:$O$53</c:f>
              <c:numCache>
                <c:formatCode>General</c:formatCode>
                <c:ptCount val="10"/>
                <c:pt idx="0">
                  <c:v>5</c:v>
                </c:pt>
                <c:pt idx="1">
                  <c:v>5</c:v>
                </c:pt>
                <c:pt idx="2">
                  <c:v>5</c:v>
                </c:pt>
                <c:pt idx="3">
                  <c:v>5</c:v>
                </c:pt>
                <c:pt idx="4">
                  <c:v>5</c:v>
                </c:pt>
                <c:pt idx="5">
                  <c:v>4.8</c:v>
                </c:pt>
                <c:pt idx="6">
                  <c:v>4.8</c:v>
                </c:pt>
                <c:pt idx="7">
                  <c:v>4.8</c:v>
                </c:pt>
                <c:pt idx="8">
                  <c:v>4.7</c:v>
                </c:pt>
                <c:pt idx="9">
                  <c:v>4.7</c:v>
                </c:pt>
              </c:numCache>
            </c:numRef>
          </c:val>
          <c:extLst>
            <c:ext xmlns:c16="http://schemas.microsoft.com/office/drawing/2014/chart" uri="{C3380CC4-5D6E-409C-BE32-E72D297353CC}">
              <c16:uniqueId val="{00000000-37DA-46D2-9DE6-44163E80F126}"/>
            </c:ext>
          </c:extLst>
        </c:ser>
        <c:dLbls>
          <c:showLegendKey val="0"/>
          <c:showVal val="0"/>
          <c:showCatName val="0"/>
          <c:showSerName val="0"/>
          <c:showPercent val="0"/>
          <c:showBubbleSize val="0"/>
        </c:dLbls>
        <c:gapWidth val="182"/>
        <c:axId val="1031630864"/>
        <c:axId val="287440624"/>
      </c:barChart>
      <c:catAx>
        <c:axId val="103163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440624"/>
        <c:crosses val="autoZero"/>
        <c:auto val="1"/>
        <c:lblAlgn val="ctr"/>
        <c:lblOffset val="100"/>
        <c:noMultiLvlLbl val="0"/>
      </c:catAx>
      <c:valAx>
        <c:axId val="28744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63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discount percentage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'cleaned products'!$O$75:$O$84</c:f>
              <c:strCache>
                <c:ptCount val="10"/>
                <c:pt idx="0">
                  <c:v>5-PCS Stainless Steel Cooking Pot Set With Steamed Slices</c:v>
                </c:pt>
                <c:pt idx="1">
                  <c:v>LASA FOLDING TABLE SERVING STAND</c:v>
                </c:pt>
                <c:pt idx="2">
                  <c:v>Simple Metal Dog Art Sculpture Decoration For Home Office</c:v>
                </c:pt>
                <c:pt idx="3">
                  <c:v>LASA 3 Tier Bamboo Shoe Bench Storage Shelf</c:v>
                </c:pt>
                <c:pt idx="4">
                  <c:v>Mythco 120COB Solar Wall Ligt With Motion Sensor And Remote Control 3 Modes</c:v>
                </c:pt>
                <c:pt idx="5">
                  <c:v>Intelligent  LED Body Sensor Wireless Lighting Night Light USB</c:v>
                </c:pt>
                <c:pt idx="6">
                  <c:v>Anti-Skid Absorbent Insulation Coaster  For Home Office</c:v>
                </c:pt>
                <c:pt idx="7">
                  <c:v>2PCS Ice Silk Square Cushion Cover Pillowcases - 65x65cm</c:v>
                </c:pt>
                <c:pt idx="8">
                  <c:v>380ML USB Rechargeable Portable Small Blenders And Juicers</c:v>
                </c:pt>
                <c:pt idx="9">
                  <c:v>Christmas Elk Fence Yard Lawn Decorations Cute For Holidays</c:v>
                </c:pt>
              </c:strCache>
            </c:strRef>
          </c:cat>
          <c:val>
            <c:numRef>
              <c:f>'cleaned products'!$P$75:$P$84</c:f>
              <c:numCache>
                <c:formatCode>General</c:formatCode>
                <c:ptCount val="10"/>
                <c:pt idx="0">
                  <c:v>0.55000000000000004</c:v>
                </c:pt>
                <c:pt idx="1">
                  <c:v>0.55000000000000004</c:v>
                </c:pt>
                <c:pt idx="2">
                  <c:v>0.55000000000000004</c:v>
                </c:pt>
                <c:pt idx="3">
                  <c:v>0.54</c:v>
                </c:pt>
                <c:pt idx="4">
                  <c:v>0.54</c:v>
                </c:pt>
                <c:pt idx="5">
                  <c:v>0.52</c:v>
                </c:pt>
                <c:pt idx="6">
                  <c:v>0.51</c:v>
                </c:pt>
                <c:pt idx="7">
                  <c:v>0.5</c:v>
                </c:pt>
                <c:pt idx="8">
                  <c:v>0.5</c:v>
                </c:pt>
                <c:pt idx="9">
                  <c:v>0.5</c:v>
                </c:pt>
              </c:numCache>
            </c:numRef>
          </c:val>
          <c:extLst>
            <c:ext xmlns:c16="http://schemas.microsoft.com/office/drawing/2014/chart" uri="{C3380CC4-5D6E-409C-BE32-E72D297353CC}">
              <c16:uniqueId val="{00000000-8E91-42ED-A9CF-86E5FBD2E8ED}"/>
            </c:ext>
          </c:extLst>
        </c:ser>
        <c:dLbls>
          <c:showLegendKey val="0"/>
          <c:showVal val="0"/>
          <c:showCatName val="0"/>
          <c:showSerName val="0"/>
          <c:showPercent val="0"/>
          <c:showBubbleSize val="0"/>
        </c:dLbls>
        <c:gapWidth val="219"/>
        <c:overlap val="-27"/>
        <c:axId val="1024321952"/>
        <c:axId val="287340784"/>
      </c:barChart>
      <c:catAx>
        <c:axId val="10243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340784"/>
        <c:crosses val="autoZero"/>
        <c:auto val="1"/>
        <c:lblAlgn val="ctr"/>
        <c:lblOffset val="100"/>
        <c:noMultiLvlLbl val="0"/>
      </c:catAx>
      <c:valAx>
        <c:axId val="28734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2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ratings and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363618702183714E-2"/>
          <c:y val="2.4919762330736388E-2"/>
          <c:w val="0.88325200407540017"/>
          <c:h val="0.72683289129975026"/>
        </c:manualLayout>
      </c:layout>
      <c:scatterChart>
        <c:scatterStyle val="lineMarker"/>
        <c:varyColors val="0"/>
        <c:ser>
          <c:idx val="0"/>
          <c:order val="0"/>
          <c:tx>
            <c:strRef>
              <c:f>'cleaned products'!$J$1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'cleaned products'!$H$2:$H$116</c:f>
              <c:numCache>
                <c:formatCode>General</c:formatCode>
                <c:ptCount val="115"/>
                <c:pt idx="0">
                  <c:v>5</c:v>
                </c:pt>
                <c:pt idx="1">
                  <c:v>1</c:v>
                </c:pt>
                <c:pt idx="3">
                  <c:v>15</c:v>
                </c:pt>
                <c:pt idx="4">
                  <c:v>5</c:v>
                </c:pt>
                <c:pt idx="5">
                  <c:v>12</c:v>
                </c:pt>
                <c:pt idx="8">
                  <c:v>55</c:v>
                </c:pt>
                <c:pt idx="9">
                  <c:v>5</c:v>
                </c:pt>
                <c:pt idx="11">
                  <c:v>24</c:v>
                </c:pt>
                <c:pt idx="12">
                  <c:v>6</c:v>
                </c:pt>
                <c:pt idx="14">
                  <c:v>13</c:v>
                </c:pt>
                <c:pt idx="15">
                  <c:v>7</c:v>
                </c:pt>
                <c:pt idx="16">
                  <c:v>3</c:v>
                </c:pt>
                <c:pt idx="17">
                  <c:v>32</c:v>
                </c:pt>
                <c:pt idx="18">
                  <c:v>20</c:v>
                </c:pt>
                <c:pt idx="21">
                  <c:v>9</c:v>
                </c:pt>
                <c:pt idx="22">
                  <c:v>2</c:v>
                </c:pt>
                <c:pt idx="24">
                  <c:v>20</c:v>
                </c:pt>
                <c:pt idx="25">
                  <c:v>5</c:v>
                </c:pt>
                <c:pt idx="27">
                  <c:v>9</c:v>
                </c:pt>
                <c:pt idx="31">
                  <c:v>14</c:v>
                </c:pt>
                <c:pt idx="32">
                  <c:v>1</c:v>
                </c:pt>
                <c:pt idx="33">
                  <c:v>5</c:v>
                </c:pt>
                <c:pt idx="34">
                  <c:v>7</c:v>
                </c:pt>
                <c:pt idx="35">
                  <c:v>7</c:v>
                </c:pt>
                <c:pt idx="43">
                  <c:v>13</c:v>
                </c:pt>
                <c:pt idx="45">
                  <c:v>5</c:v>
                </c:pt>
                <c:pt idx="46">
                  <c:v>16</c:v>
                </c:pt>
                <c:pt idx="51">
                  <c:v>1</c:v>
                </c:pt>
                <c:pt idx="54">
                  <c:v>7</c:v>
                </c:pt>
                <c:pt idx="56">
                  <c:v>44</c:v>
                </c:pt>
                <c:pt idx="57">
                  <c:v>39</c:v>
                </c:pt>
                <c:pt idx="58">
                  <c:v>6</c:v>
                </c:pt>
                <c:pt idx="59">
                  <c:v>2</c:v>
                </c:pt>
                <c:pt idx="60">
                  <c:v>12</c:v>
                </c:pt>
                <c:pt idx="61">
                  <c:v>1</c:v>
                </c:pt>
                <c:pt idx="62">
                  <c:v>6</c:v>
                </c:pt>
                <c:pt idx="63">
                  <c:v>2</c:v>
                </c:pt>
                <c:pt idx="66">
                  <c:v>6</c:v>
                </c:pt>
                <c:pt idx="68">
                  <c:v>12</c:v>
                </c:pt>
                <c:pt idx="81">
                  <c:v>12</c:v>
                </c:pt>
                <c:pt idx="82">
                  <c:v>14</c:v>
                </c:pt>
                <c:pt idx="84">
                  <c:v>5</c:v>
                </c:pt>
                <c:pt idx="85">
                  <c:v>6</c:v>
                </c:pt>
                <c:pt idx="88">
                  <c:v>10</c:v>
                </c:pt>
                <c:pt idx="89">
                  <c:v>1</c:v>
                </c:pt>
                <c:pt idx="90">
                  <c:v>69</c:v>
                </c:pt>
                <c:pt idx="91">
                  <c:v>49</c:v>
                </c:pt>
                <c:pt idx="93">
                  <c:v>36</c:v>
                </c:pt>
                <c:pt idx="94">
                  <c:v>17</c:v>
                </c:pt>
                <c:pt idx="95">
                  <c:v>6</c:v>
                </c:pt>
                <c:pt idx="96">
                  <c:v>2</c:v>
                </c:pt>
                <c:pt idx="97">
                  <c:v>1</c:v>
                </c:pt>
                <c:pt idx="98">
                  <c:v>15</c:v>
                </c:pt>
                <c:pt idx="108">
                  <c:v>2</c:v>
                </c:pt>
                <c:pt idx="109">
                  <c:v>9</c:v>
                </c:pt>
                <c:pt idx="111">
                  <c:v>2</c:v>
                </c:pt>
                <c:pt idx="114">
                  <c:v>13</c:v>
                </c:pt>
              </c:numCache>
            </c:numRef>
          </c:xVal>
          <c:yVal>
            <c:numRef>
              <c:f>'cleaned products'!$J$2:$J$116</c:f>
              <c:numCache>
                <c:formatCode>0.0</c:formatCode>
                <c:ptCount val="115"/>
                <c:pt idx="0">
                  <c:v>3</c:v>
                </c:pt>
                <c:pt idx="1">
                  <c:v>5</c:v>
                </c:pt>
                <c:pt idx="3">
                  <c:v>4</c:v>
                </c:pt>
                <c:pt idx="4">
                  <c:v>4.5999999999999996</c:v>
                </c:pt>
                <c:pt idx="5">
                  <c:v>3.8</c:v>
                </c:pt>
                <c:pt idx="8">
                  <c:v>4.5999999999999996</c:v>
                </c:pt>
                <c:pt idx="9">
                  <c:v>3</c:v>
                </c:pt>
                <c:pt idx="11">
                  <c:v>4.5999999999999996</c:v>
                </c:pt>
                <c:pt idx="12">
                  <c:v>2.5</c:v>
                </c:pt>
                <c:pt idx="14">
                  <c:v>2.1</c:v>
                </c:pt>
                <c:pt idx="15">
                  <c:v>4.3</c:v>
                </c:pt>
                <c:pt idx="16">
                  <c:v>5</c:v>
                </c:pt>
                <c:pt idx="17">
                  <c:v>4.5</c:v>
                </c:pt>
                <c:pt idx="18">
                  <c:v>4.7</c:v>
                </c:pt>
                <c:pt idx="21">
                  <c:v>4.3</c:v>
                </c:pt>
                <c:pt idx="22">
                  <c:v>4.5</c:v>
                </c:pt>
                <c:pt idx="24">
                  <c:v>4.0999999999999996</c:v>
                </c:pt>
                <c:pt idx="25">
                  <c:v>4.8</c:v>
                </c:pt>
                <c:pt idx="27">
                  <c:v>4.2</c:v>
                </c:pt>
                <c:pt idx="31">
                  <c:v>4.4000000000000004</c:v>
                </c:pt>
                <c:pt idx="32">
                  <c:v>5</c:v>
                </c:pt>
                <c:pt idx="33">
                  <c:v>3.8</c:v>
                </c:pt>
                <c:pt idx="34">
                  <c:v>4.7</c:v>
                </c:pt>
                <c:pt idx="35">
                  <c:v>2.1</c:v>
                </c:pt>
                <c:pt idx="43">
                  <c:v>3.8</c:v>
                </c:pt>
                <c:pt idx="45">
                  <c:v>4.8</c:v>
                </c:pt>
                <c:pt idx="46">
                  <c:v>2.9</c:v>
                </c:pt>
                <c:pt idx="51">
                  <c:v>3</c:v>
                </c:pt>
                <c:pt idx="54">
                  <c:v>2.2999999999999998</c:v>
                </c:pt>
                <c:pt idx="56">
                  <c:v>4.5999999999999996</c:v>
                </c:pt>
                <c:pt idx="57">
                  <c:v>4.7</c:v>
                </c:pt>
                <c:pt idx="58">
                  <c:v>2.2000000000000002</c:v>
                </c:pt>
                <c:pt idx="59">
                  <c:v>4</c:v>
                </c:pt>
                <c:pt idx="60">
                  <c:v>4.7</c:v>
                </c:pt>
                <c:pt idx="61">
                  <c:v>5</c:v>
                </c:pt>
                <c:pt idx="62">
                  <c:v>2.2000000000000002</c:v>
                </c:pt>
                <c:pt idx="63">
                  <c:v>4.5</c:v>
                </c:pt>
                <c:pt idx="66">
                  <c:v>4</c:v>
                </c:pt>
                <c:pt idx="68">
                  <c:v>4.0999999999999996</c:v>
                </c:pt>
                <c:pt idx="81">
                  <c:v>4.8</c:v>
                </c:pt>
                <c:pt idx="82">
                  <c:v>4.0999999999999996</c:v>
                </c:pt>
                <c:pt idx="84">
                  <c:v>3</c:v>
                </c:pt>
                <c:pt idx="85">
                  <c:v>4.5</c:v>
                </c:pt>
                <c:pt idx="88">
                  <c:v>3</c:v>
                </c:pt>
                <c:pt idx="89">
                  <c:v>2</c:v>
                </c:pt>
                <c:pt idx="90">
                  <c:v>2.8</c:v>
                </c:pt>
                <c:pt idx="91">
                  <c:v>4.5999999999999996</c:v>
                </c:pt>
                <c:pt idx="93">
                  <c:v>4.3</c:v>
                </c:pt>
                <c:pt idx="94">
                  <c:v>2.6</c:v>
                </c:pt>
                <c:pt idx="95">
                  <c:v>2.2999999999999998</c:v>
                </c:pt>
                <c:pt idx="96">
                  <c:v>5</c:v>
                </c:pt>
                <c:pt idx="97">
                  <c:v>4</c:v>
                </c:pt>
                <c:pt idx="98">
                  <c:v>2.7</c:v>
                </c:pt>
                <c:pt idx="108">
                  <c:v>5</c:v>
                </c:pt>
                <c:pt idx="109">
                  <c:v>4.3</c:v>
                </c:pt>
                <c:pt idx="111">
                  <c:v>5</c:v>
                </c:pt>
                <c:pt idx="114">
                  <c:v>3.3</c:v>
                </c:pt>
              </c:numCache>
            </c:numRef>
          </c:yVal>
          <c:smooth val="0"/>
          <c:extLst>
            <c:ext xmlns:c16="http://schemas.microsoft.com/office/drawing/2014/chart" uri="{C3380CC4-5D6E-409C-BE32-E72D297353CC}">
              <c16:uniqueId val="{00000000-15D0-4C5A-8490-3A20161B561B}"/>
            </c:ext>
          </c:extLst>
        </c:ser>
        <c:dLbls>
          <c:showLegendKey val="0"/>
          <c:showVal val="0"/>
          <c:showCatName val="0"/>
          <c:showSerName val="0"/>
          <c:showPercent val="0"/>
          <c:showBubbleSize val="0"/>
        </c:dLbls>
        <c:axId val="1054946384"/>
        <c:axId val="287419024"/>
      </c:scatterChart>
      <c:valAx>
        <c:axId val="105494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419024"/>
        <c:crosses val="autoZero"/>
        <c:crossBetween val="midCat"/>
      </c:valAx>
      <c:valAx>
        <c:axId val="2874190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9463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pricing and ratings</a:t>
            </a:r>
            <a:endParaRPr lang="en-US"/>
          </a:p>
        </c:rich>
      </c:tx>
      <c:layout>
        <c:manualLayout>
          <c:xMode val="edge"/>
          <c:yMode val="edge"/>
          <c:x val="0.2100833333333333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'cleaned products'!$B$2:$B$116</c:f>
              <c:numCache>
                <c:formatCode>0</c:formatCode>
                <c:ptCount val="115"/>
                <c:pt idx="0">
                  <c:v>3750</c:v>
                </c:pt>
                <c:pt idx="1">
                  <c:v>3640</c:v>
                </c:pt>
                <c:pt idx="2">
                  <c:v>3546</c:v>
                </c:pt>
                <c:pt idx="3">
                  <c:v>2999</c:v>
                </c:pt>
                <c:pt idx="4">
                  <c:v>2999</c:v>
                </c:pt>
                <c:pt idx="5">
                  <c:v>2880</c:v>
                </c:pt>
                <c:pt idx="6">
                  <c:v>2799</c:v>
                </c:pt>
                <c:pt idx="7">
                  <c:v>2750</c:v>
                </c:pt>
                <c:pt idx="8">
                  <c:v>2319</c:v>
                </c:pt>
                <c:pt idx="9">
                  <c:v>2300</c:v>
                </c:pt>
                <c:pt idx="10">
                  <c:v>2200</c:v>
                </c:pt>
                <c:pt idx="11">
                  <c:v>2199</c:v>
                </c:pt>
                <c:pt idx="12">
                  <c:v>2170</c:v>
                </c:pt>
                <c:pt idx="13">
                  <c:v>2132</c:v>
                </c:pt>
                <c:pt idx="14">
                  <c:v>2115</c:v>
                </c:pt>
                <c:pt idx="15">
                  <c:v>2048</c:v>
                </c:pt>
                <c:pt idx="16">
                  <c:v>2025</c:v>
                </c:pt>
                <c:pt idx="17">
                  <c:v>1980</c:v>
                </c:pt>
                <c:pt idx="18">
                  <c:v>1940</c:v>
                </c:pt>
                <c:pt idx="19">
                  <c:v>1875</c:v>
                </c:pt>
                <c:pt idx="20">
                  <c:v>1860</c:v>
                </c:pt>
                <c:pt idx="21">
                  <c:v>1820</c:v>
                </c:pt>
                <c:pt idx="22">
                  <c:v>1800</c:v>
                </c:pt>
                <c:pt idx="23">
                  <c:v>1768</c:v>
                </c:pt>
                <c:pt idx="24">
                  <c:v>1758</c:v>
                </c:pt>
                <c:pt idx="25">
                  <c:v>1740</c:v>
                </c:pt>
                <c:pt idx="26">
                  <c:v>1732</c:v>
                </c:pt>
                <c:pt idx="27">
                  <c:v>1680</c:v>
                </c:pt>
                <c:pt idx="28">
                  <c:v>1666</c:v>
                </c:pt>
                <c:pt idx="29">
                  <c:v>1660</c:v>
                </c:pt>
                <c:pt idx="30">
                  <c:v>1658</c:v>
                </c:pt>
                <c:pt idx="31">
                  <c:v>1650</c:v>
                </c:pt>
                <c:pt idx="32">
                  <c:v>1620</c:v>
                </c:pt>
                <c:pt idx="33">
                  <c:v>1600</c:v>
                </c:pt>
                <c:pt idx="34">
                  <c:v>1580</c:v>
                </c:pt>
                <c:pt idx="35">
                  <c:v>1570</c:v>
                </c:pt>
                <c:pt idx="36">
                  <c:v>1526</c:v>
                </c:pt>
                <c:pt idx="37">
                  <c:v>1468</c:v>
                </c:pt>
                <c:pt idx="38">
                  <c:v>1466</c:v>
                </c:pt>
                <c:pt idx="39">
                  <c:v>1462</c:v>
                </c:pt>
                <c:pt idx="40">
                  <c:v>1460</c:v>
                </c:pt>
                <c:pt idx="41">
                  <c:v>1459</c:v>
                </c:pt>
                <c:pt idx="42">
                  <c:v>1420</c:v>
                </c:pt>
                <c:pt idx="43">
                  <c:v>1350</c:v>
                </c:pt>
                <c:pt idx="44">
                  <c:v>1300</c:v>
                </c:pt>
                <c:pt idx="45">
                  <c:v>1274</c:v>
                </c:pt>
                <c:pt idx="46">
                  <c:v>1220</c:v>
                </c:pt>
                <c:pt idx="47">
                  <c:v>1200</c:v>
                </c:pt>
                <c:pt idx="48">
                  <c:v>1200</c:v>
                </c:pt>
                <c:pt idx="49">
                  <c:v>1190</c:v>
                </c:pt>
                <c:pt idx="50">
                  <c:v>1190</c:v>
                </c:pt>
                <c:pt idx="51">
                  <c:v>1189</c:v>
                </c:pt>
                <c:pt idx="52">
                  <c:v>1150</c:v>
                </c:pt>
                <c:pt idx="53">
                  <c:v>1080</c:v>
                </c:pt>
                <c:pt idx="54">
                  <c:v>1000</c:v>
                </c:pt>
                <c:pt idx="55">
                  <c:v>999</c:v>
                </c:pt>
                <c:pt idx="56">
                  <c:v>998</c:v>
                </c:pt>
                <c:pt idx="57">
                  <c:v>990</c:v>
                </c:pt>
                <c:pt idx="58">
                  <c:v>990</c:v>
                </c:pt>
                <c:pt idx="59">
                  <c:v>988</c:v>
                </c:pt>
                <c:pt idx="60">
                  <c:v>980</c:v>
                </c:pt>
                <c:pt idx="61">
                  <c:v>979</c:v>
                </c:pt>
                <c:pt idx="62">
                  <c:v>968</c:v>
                </c:pt>
                <c:pt idx="63">
                  <c:v>950</c:v>
                </c:pt>
                <c:pt idx="64">
                  <c:v>899</c:v>
                </c:pt>
                <c:pt idx="65">
                  <c:v>899</c:v>
                </c:pt>
                <c:pt idx="66">
                  <c:v>880</c:v>
                </c:pt>
                <c:pt idx="67">
                  <c:v>850</c:v>
                </c:pt>
                <c:pt idx="68">
                  <c:v>799</c:v>
                </c:pt>
                <c:pt idx="69">
                  <c:v>799</c:v>
                </c:pt>
                <c:pt idx="70">
                  <c:v>799</c:v>
                </c:pt>
                <c:pt idx="71">
                  <c:v>799</c:v>
                </c:pt>
                <c:pt idx="72">
                  <c:v>790</c:v>
                </c:pt>
                <c:pt idx="73">
                  <c:v>699</c:v>
                </c:pt>
                <c:pt idx="74">
                  <c:v>690</c:v>
                </c:pt>
                <c:pt idx="75">
                  <c:v>671</c:v>
                </c:pt>
                <c:pt idx="76">
                  <c:v>657</c:v>
                </c:pt>
                <c:pt idx="77">
                  <c:v>630</c:v>
                </c:pt>
                <c:pt idx="78">
                  <c:v>610</c:v>
                </c:pt>
                <c:pt idx="79">
                  <c:v>610</c:v>
                </c:pt>
                <c:pt idx="80">
                  <c:v>610</c:v>
                </c:pt>
                <c:pt idx="81">
                  <c:v>552</c:v>
                </c:pt>
                <c:pt idx="82">
                  <c:v>527</c:v>
                </c:pt>
                <c:pt idx="83">
                  <c:v>525</c:v>
                </c:pt>
                <c:pt idx="84">
                  <c:v>509</c:v>
                </c:pt>
                <c:pt idx="85">
                  <c:v>501</c:v>
                </c:pt>
                <c:pt idx="86">
                  <c:v>499</c:v>
                </c:pt>
                <c:pt idx="87">
                  <c:v>475</c:v>
                </c:pt>
                <c:pt idx="88">
                  <c:v>458</c:v>
                </c:pt>
                <c:pt idx="89">
                  <c:v>450</c:v>
                </c:pt>
                <c:pt idx="90">
                  <c:v>445</c:v>
                </c:pt>
                <c:pt idx="91">
                  <c:v>420</c:v>
                </c:pt>
                <c:pt idx="92">
                  <c:v>399</c:v>
                </c:pt>
                <c:pt idx="93">
                  <c:v>389</c:v>
                </c:pt>
                <c:pt idx="94">
                  <c:v>382</c:v>
                </c:pt>
                <c:pt idx="95">
                  <c:v>345</c:v>
                </c:pt>
                <c:pt idx="96">
                  <c:v>332</c:v>
                </c:pt>
                <c:pt idx="97">
                  <c:v>330</c:v>
                </c:pt>
                <c:pt idx="98">
                  <c:v>325</c:v>
                </c:pt>
                <c:pt idx="99">
                  <c:v>299</c:v>
                </c:pt>
                <c:pt idx="100">
                  <c:v>299</c:v>
                </c:pt>
                <c:pt idx="101">
                  <c:v>274</c:v>
                </c:pt>
                <c:pt idx="102">
                  <c:v>248</c:v>
                </c:pt>
                <c:pt idx="103">
                  <c:v>238</c:v>
                </c:pt>
                <c:pt idx="104">
                  <c:v>230</c:v>
                </c:pt>
                <c:pt idx="105">
                  <c:v>199</c:v>
                </c:pt>
                <c:pt idx="106">
                  <c:v>199</c:v>
                </c:pt>
                <c:pt idx="107">
                  <c:v>198</c:v>
                </c:pt>
                <c:pt idx="108">
                  <c:v>195</c:v>
                </c:pt>
                <c:pt idx="109">
                  <c:v>185</c:v>
                </c:pt>
                <c:pt idx="110">
                  <c:v>176</c:v>
                </c:pt>
                <c:pt idx="111">
                  <c:v>171</c:v>
                </c:pt>
                <c:pt idx="112">
                  <c:v>169</c:v>
                </c:pt>
                <c:pt idx="113">
                  <c:v>105</c:v>
                </c:pt>
                <c:pt idx="114">
                  <c:v>38</c:v>
                </c:pt>
              </c:numCache>
            </c:numRef>
          </c:xVal>
          <c:yVal>
            <c:numRef>
              <c:f>'cleaned products'!$J$2:$J$116</c:f>
              <c:numCache>
                <c:formatCode>0.0</c:formatCode>
                <c:ptCount val="115"/>
                <c:pt idx="0">
                  <c:v>3</c:v>
                </c:pt>
                <c:pt idx="1">
                  <c:v>5</c:v>
                </c:pt>
                <c:pt idx="3">
                  <c:v>4</c:v>
                </c:pt>
                <c:pt idx="4">
                  <c:v>4.5999999999999996</c:v>
                </c:pt>
                <c:pt idx="5">
                  <c:v>3.8</c:v>
                </c:pt>
                <c:pt idx="8">
                  <c:v>4.5999999999999996</c:v>
                </c:pt>
                <c:pt idx="9">
                  <c:v>3</c:v>
                </c:pt>
                <c:pt idx="11">
                  <c:v>4.5999999999999996</c:v>
                </c:pt>
                <c:pt idx="12">
                  <c:v>2.5</c:v>
                </c:pt>
                <c:pt idx="14">
                  <c:v>2.1</c:v>
                </c:pt>
                <c:pt idx="15">
                  <c:v>4.3</c:v>
                </c:pt>
                <c:pt idx="16">
                  <c:v>5</c:v>
                </c:pt>
                <c:pt idx="17">
                  <c:v>4.5</c:v>
                </c:pt>
                <c:pt idx="18">
                  <c:v>4.7</c:v>
                </c:pt>
                <c:pt idx="21">
                  <c:v>4.3</c:v>
                </c:pt>
                <c:pt idx="22">
                  <c:v>4.5</c:v>
                </c:pt>
                <c:pt idx="24">
                  <c:v>4.0999999999999996</c:v>
                </c:pt>
                <c:pt idx="25">
                  <c:v>4.8</c:v>
                </c:pt>
                <c:pt idx="27">
                  <c:v>4.2</c:v>
                </c:pt>
                <c:pt idx="31">
                  <c:v>4.4000000000000004</c:v>
                </c:pt>
                <c:pt idx="32">
                  <c:v>5</c:v>
                </c:pt>
                <c:pt idx="33">
                  <c:v>3.8</c:v>
                </c:pt>
                <c:pt idx="34">
                  <c:v>4.7</c:v>
                </c:pt>
                <c:pt idx="35">
                  <c:v>2.1</c:v>
                </c:pt>
                <c:pt idx="43">
                  <c:v>3.8</c:v>
                </c:pt>
                <c:pt idx="45">
                  <c:v>4.8</c:v>
                </c:pt>
                <c:pt idx="46">
                  <c:v>2.9</c:v>
                </c:pt>
                <c:pt idx="51">
                  <c:v>3</c:v>
                </c:pt>
                <c:pt idx="54">
                  <c:v>2.2999999999999998</c:v>
                </c:pt>
                <c:pt idx="56">
                  <c:v>4.5999999999999996</c:v>
                </c:pt>
                <c:pt idx="57">
                  <c:v>4.7</c:v>
                </c:pt>
                <c:pt idx="58">
                  <c:v>2.2000000000000002</c:v>
                </c:pt>
                <c:pt idx="59">
                  <c:v>4</c:v>
                </c:pt>
                <c:pt idx="60">
                  <c:v>4.7</c:v>
                </c:pt>
                <c:pt idx="61">
                  <c:v>5</c:v>
                </c:pt>
                <c:pt idx="62">
                  <c:v>2.2000000000000002</c:v>
                </c:pt>
                <c:pt idx="63">
                  <c:v>4.5</c:v>
                </c:pt>
                <c:pt idx="66">
                  <c:v>4</c:v>
                </c:pt>
                <c:pt idx="68">
                  <c:v>4.0999999999999996</c:v>
                </c:pt>
                <c:pt idx="81">
                  <c:v>4.8</c:v>
                </c:pt>
                <c:pt idx="82">
                  <c:v>4.0999999999999996</c:v>
                </c:pt>
                <c:pt idx="84">
                  <c:v>3</c:v>
                </c:pt>
                <c:pt idx="85">
                  <c:v>4.5</c:v>
                </c:pt>
                <c:pt idx="88">
                  <c:v>3</c:v>
                </c:pt>
                <c:pt idx="89">
                  <c:v>2</c:v>
                </c:pt>
                <c:pt idx="90">
                  <c:v>2.8</c:v>
                </c:pt>
                <c:pt idx="91">
                  <c:v>4.5999999999999996</c:v>
                </c:pt>
                <c:pt idx="93">
                  <c:v>4.3</c:v>
                </c:pt>
                <c:pt idx="94">
                  <c:v>2.6</c:v>
                </c:pt>
                <c:pt idx="95">
                  <c:v>2.2999999999999998</c:v>
                </c:pt>
                <c:pt idx="96">
                  <c:v>5</c:v>
                </c:pt>
                <c:pt idx="97">
                  <c:v>4</c:v>
                </c:pt>
                <c:pt idx="98">
                  <c:v>2.7</c:v>
                </c:pt>
                <c:pt idx="108">
                  <c:v>5</c:v>
                </c:pt>
                <c:pt idx="109">
                  <c:v>4.3</c:v>
                </c:pt>
                <c:pt idx="111">
                  <c:v>5</c:v>
                </c:pt>
                <c:pt idx="114">
                  <c:v>3.3</c:v>
                </c:pt>
              </c:numCache>
            </c:numRef>
          </c:yVal>
          <c:smooth val="0"/>
          <c:extLst>
            <c:ext xmlns:c16="http://schemas.microsoft.com/office/drawing/2014/chart" uri="{C3380CC4-5D6E-409C-BE32-E72D297353CC}">
              <c16:uniqueId val="{00000000-D814-4272-A70B-78AD3AD876A1}"/>
            </c:ext>
          </c:extLst>
        </c:ser>
        <c:dLbls>
          <c:showLegendKey val="0"/>
          <c:showVal val="0"/>
          <c:showCatName val="0"/>
          <c:showSerName val="0"/>
          <c:showPercent val="0"/>
          <c:showBubbleSize val="0"/>
        </c:dLbls>
        <c:axId val="1031629936"/>
        <c:axId val="287348464"/>
      </c:scatterChart>
      <c:valAx>
        <c:axId val="10316299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348464"/>
        <c:crosses val="autoZero"/>
        <c:crossBetween val="midCat"/>
      </c:valAx>
      <c:valAx>
        <c:axId val="2873484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629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algn="ctr" rtl="0">
              <a:defRPr/>
            </a:pPr>
            <a:r>
              <a:rPr lang="en-US"/>
              <a:t>Top 10 products by number of reviews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funnel" uniqueId="{28C0BE29-F43F-4867-BAE8-7C8548D005B2}" formatIdx="0">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152400</xdr:colOff>
      <xdr:row>25</xdr:row>
      <xdr:rowOff>160506</xdr:rowOff>
    </xdr:from>
    <xdr:to>
      <xdr:col>8</xdr:col>
      <xdr:colOff>307258</xdr:colOff>
      <xdr:row>40</xdr:row>
      <xdr:rowOff>160506</xdr:rowOff>
    </xdr:to>
    <xdr:graphicFrame macro="">
      <xdr:nvGraphicFramePr>
        <xdr:cNvPr id="2" name="Chart 2">
          <a:extLst>
            <a:ext uri="{FF2B5EF4-FFF2-40B4-BE49-F238E27FC236}">
              <a16:creationId xmlns:a16="http://schemas.microsoft.com/office/drawing/2014/main" id="{C091FE5F-3204-1E39-A1AC-A8342C024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323850</xdr:colOff>
      <xdr:row>9</xdr:row>
      <xdr:rowOff>163830</xdr:rowOff>
    </xdr:from>
    <xdr:to>
      <xdr:col>8</xdr:col>
      <xdr:colOff>282677</xdr:colOff>
      <xdr:row>24</xdr:row>
      <xdr:rowOff>163830</xdr:rowOff>
    </xdr:to>
    <xdr:graphicFrame macro="">
      <xdr:nvGraphicFramePr>
        <xdr:cNvPr id="3" name="Chart 1">
          <a:extLst>
            <a:ext uri="{FF2B5EF4-FFF2-40B4-BE49-F238E27FC236}">
              <a16:creationId xmlns:a16="http://schemas.microsoft.com/office/drawing/2014/main" id="{251C3F06-4CCE-552B-DD8E-4E578BC55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21508</xdr:colOff>
      <xdr:row>10</xdr:row>
      <xdr:rowOff>45597</xdr:rowOff>
    </xdr:from>
    <xdr:to>
      <xdr:col>16</xdr:col>
      <xdr:colOff>326308</xdr:colOff>
      <xdr:row>25</xdr:row>
      <xdr:rowOff>96602</xdr:rowOff>
    </xdr:to>
    <xdr:graphicFrame macro="">
      <xdr:nvGraphicFramePr>
        <xdr:cNvPr id="4" name="Chart 2">
          <a:extLst>
            <a:ext uri="{FF2B5EF4-FFF2-40B4-BE49-F238E27FC236}">
              <a16:creationId xmlns:a16="http://schemas.microsoft.com/office/drawing/2014/main" id="{9F198E12-AEFB-7F2A-EE32-46061A91C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25</xdr:row>
      <xdr:rowOff>171450</xdr:rowOff>
    </xdr:from>
    <xdr:to>
      <xdr:col>16</xdr:col>
      <xdr:colOff>304800</xdr:colOff>
      <xdr:row>40</xdr:row>
      <xdr:rowOff>171450</xdr:rowOff>
    </xdr:to>
    <xdr:graphicFrame macro="">
      <xdr:nvGraphicFramePr>
        <xdr:cNvPr id="7" name="Chart 5">
          <a:extLst>
            <a:ext uri="{FF2B5EF4-FFF2-40B4-BE49-F238E27FC236}">
              <a16:creationId xmlns:a16="http://schemas.microsoft.com/office/drawing/2014/main" id="{AD4E21DD-8BCB-6877-FFDD-5B15059A4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167640</xdr:colOff>
      <xdr:row>41</xdr:row>
      <xdr:rowOff>175260</xdr:rowOff>
    </xdr:from>
    <xdr:to>
      <xdr:col>3</xdr:col>
      <xdr:colOff>167640</xdr:colOff>
      <xdr:row>56</xdr:row>
      <xdr:rowOff>20955</xdr:rowOff>
    </xdr:to>
    <mc:AlternateContent xmlns:mc="http://schemas.openxmlformats.org/markup-compatibility/2006" xmlns:a14="http://schemas.microsoft.com/office/drawing/2010/main">
      <mc:Choice Requires="a14">
        <xdr:graphicFrame macro="">
          <xdr:nvGraphicFramePr>
            <xdr:cNvPr id="9" name="Review">
              <a:extLst>
                <a:ext uri="{FF2B5EF4-FFF2-40B4-BE49-F238E27FC236}">
                  <a16:creationId xmlns:a16="http://schemas.microsoft.com/office/drawing/2014/main" id="{4DB7C1D7-99DE-07FC-2EB8-64951734C2EC}"/>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167640" y="7673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228601</xdr:colOff>
      <xdr:row>3</xdr:row>
      <xdr:rowOff>19050</xdr:rowOff>
    </xdr:from>
    <xdr:to>
      <xdr:col>7</xdr:col>
      <xdr:colOff>504825</xdr:colOff>
      <xdr:row>6</xdr:row>
      <xdr:rowOff>9525</xdr:rowOff>
    </xdr:to>
    <xdr:sp macro="" textlink="">
      <xdr:nvSpPr>
        <xdr:cNvPr id="6" name="Rectangle: Rounded Corners 5">
          <a:extLst>
            <a:ext uri="{FF2B5EF4-FFF2-40B4-BE49-F238E27FC236}">
              <a16:creationId xmlns:a16="http://schemas.microsoft.com/office/drawing/2014/main" id="{80947757-F780-49E9-9B85-0FD557B607D0}"/>
            </a:ext>
          </a:extLst>
        </xdr:cNvPr>
        <xdr:cNvSpPr/>
      </xdr:nvSpPr>
      <xdr:spPr>
        <a:xfrm>
          <a:off x="3276601" y="809625"/>
          <a:ext cx="1495424" cy="5524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a:t>Average current price of products</a:t>
          </a:r>
          <a:r>
            <a:rPr lang="en-US" sz="1100" baseline="0"/>
            <a:t> = 1174</a:t>
          </a:r>
          <a:endParaRPr lang="en-US" sz="1100"/>
        </a:p>
      </xdr:txBody>
    </xdr:sp>
    <xdr:clientData/>
  </xdr:twoCellAnchor>
  <xdr:twoCellAnchor>
    <xdr:from>
      <xdr:col>10</xdr:col>
      <xdr:colOff>339089</xdr:colOff>
      <xdr:row>3</xdr:row>
      <xdr:rowOff>15240</xdr:rowOff>
    </xdr:from>
    <xdr:to>
      <xdr:col>12</xdr:col>
      <xdr:colOff>581024</xdr:colOff>
      <xdr:row>6</xdr:row>
      <xdr:rowOff>9525</xdr:rowOff>
    </xdr:to>
    <xdr:sp macro="" textlink="">
      <xdr:nvSpPr>
        <xdr:cNvPr id="10" name="Rectangle: Rounded Corners 9">
          <a:extLst>
            <a:ext uri="{FF2B5EF4-FFF2-40B4-BE49-F238E27FC236}">
              <a16:creationId xmlns:a16="http://schemas.microsoft.com/office/drawing/2014/main" id="{868A00D2-72D4-4D38-9709-4FD3C82D310B}"/>
            </a:ext>
          </a:extLst>
        </xdr:cNvPr>
        <xdr:cNvSpPr/>
      </xdr:nvSpPr>
      <xdr:spPr>
        <a:xfrm>
          <a:off x="6435089" y="805815"/>
          <a:ext cx="1461135" cy="5562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chemeClr val="dk1"/>
              </a:solidFill>
              <a:effectLst/>
              <a:latin typeface="+mn-lt"/>
              <a:ea typeface="+mn-ea"/>
              <a:cs typeface="+mn-cs"/>
            </a:rPr>
            <a:t>  Average product rating = 3.9</a:t>
          </a:r>
          <a:r>
            <a:rPr lang="en-US">
              <a:effectLst/>
            </a:rPr>
            <a:t> </a:t>
          </a:r>
          <a:endParaRPr lang="en-US" sz="1100"/>
        </a:p>
      </xdr:txBody>
    </xdr:sp>
    <xdr:clientData/>
  </xdr:twoCellAnchor>
  <xdr:twoCellAnchor>
    <xdr:from>
      <xdr:col>8</xdr:col>
      <xdr:colOff>9525</xdr:colOff>
      <xdr:row>2</xdr:row>
      <xdr:rowOff>173355</xdr:rowOff>
    </xdr:from>
    <xdr:to>
      <xdr:col>10</xdr:col>
      <xdr:colOff>238125</xdr:colOff>
      <xdr:row>5</xdr:row>
      <xdr:rowOff>173355</xdr:rowOff>
    </xdr:to>
    <xdr:sp macro="" textlink="">
      <xdr:nvSpPr>
        <xdr:cNvPr id="11" name="Rectangle: Rounded Corners 10">
          <a:extLst>
            <a:ext uri="{FF2B5EF4-FFF2-40B4-BE49-F238E27FC236}">
              <a16:creationId xmlns:a16="http://schemas.microsoft.com/office/drawing/2014/main" id="{11E659CB-1AD1-4C15-83D9-5B0339B8D284}"/>
            </a:ext>
          </a:extLst>
        </xdr:cNvPr>
        <xdr:cNvSpPr/>
      </xdr:nvSpPr>
      <xdr:spPr>
        <a:xfrm>
          <a:off x="4886325" y="782955"/>
          <a:ext cx="1447800" cy="56197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chemeClr val="dk1"/>
              </a:solidFill>
              <a:effectLst/>
              <a:latin typeface="+mn-lt"/>
              <a:ea typeface="+mn-ea"/>
              <a:cs typeface="+mn-cs"/>
            </a:rPr>
            <a:t> Average discount percentage</a:t>
          </a:r>
          <a:r>
            <a:rPr lang="en-US" sz="1100" b="0" i="0" u="none" strike="noStrike" baseline="0">
              <a:solidFill>
                <a:schemeClr val="dk1"/>
              </a:solidFill>
              <a:effectLst/>
              <a:latin typeface="+mn-lt"/>
              <a:ea typeface="+mn-ea"/>
              <a:cs typeface="+mn-cs"/>
            </a:rPr>
            <a:t> = 37%</a:t>
          </a:r>
          <a:endParaRPr lang="en-US" sz="1100"/>
        </a:p>
      </xdr:txBody>
    </xdr:sp>
    <xdr:clientData/>
  </xdr:twoCellAnchor>
  <xdr:twoCellAnchor>
    <xdr:from>
      <xdr:col>3</xdr:col>
      <xdr:colOff>9524</xdr:colOff>
      <xdr:row>2</xdr:row>
      <xdr:rowOff>173355</xdr:rowOff>
    </xdr:from>
    <xdr:to>
      <xdr:col>5</xdr:col>
      <xdr:colOff>1904</xdr:colOff>
      <xdr:row>5</xdr:row>
      <xdr:rowOff>169545</xdr:rowOff>
    </xdr:to>
    <xdr:sp macro="" textlink="">
      <xdr:nvSpPr>
        <xdr:cNvPr id="12" name="Rectangle: Rounded Corners 11">
          <a:extLst>
            <a:ext uri="{FF2B5EF4-FFF2-40B4-BE49-F238E27FC236}">
              <a16:creationId xmlns:a16="http://schemas.microsoft.com/office/drawing/2014/main" id="{092FCEA7-4BDD-46AE-AEF1-C30DA22AE7C4}"/>
            </a:ext>
          </a:extLst>
        </xdr:cNvPr>
        <xdr:cNvSpPr/>
      </xdr:nvSpPr>
      <xdr:spPr>
        <a:xfrm>
          <a:off x="1838324" y="782955"/>
          <a:ext cx="1211580" cy="55816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a:t>Total</a:t>
          </a:r>
          <a:r>
            <a:rPr lang="en-US" sz="1100" baseline="0"/>
            <a:t> Number of Products =  115 </a:t>
          </a:r>
          <a:endParaRPr lang="en-US" sz="1100"/>
        </a:p>
      </xdr:txBody>
    </xdr:sp>
    <xdr:clientData/>
  </xdr:twoCellAnchor>
  <xdr:twoCellAnchor>
    <xdr:from>
      <xdr:col>13</xdr:col>
      <xdr:colOff>161925</xdr:colOff>
      <xdr:row>3</xdr:row>
      <xdr:rowOff>0</xdr:rowOff>
    </xdr:from>
    <xdr:to>
      <xdr:col>15</xdr:col>
      <xdr:colOff>152400</xdr:colOff>
      <xdr:row>5</xdr:row>
      <xdr:rowOff>179070</xdr:rowOff>
    </xdr:to>
    <xdr:sp macro="" textlink="">
      <xdr:nvSpPr>
        <xdr:cNvPr id="13" name="Rectangle: Rounded Corners 12">
          <a:extLst>
            <a:ext uri="{FF2B5EF4-FFF2-40B4-BE49-F238E27FC236}">
              <a16:creationId xmlns:a16="http://schemas.microsoft.com/office/drawing/2014/main" id="{1DCFA58E-8513-4F0C-AD1D-ECB61AF5A955}"/>
            </a:ext>
          </a:extLst>
        </xdr:cNvPr>
        <xdr:cNvSpPr/>
      </xdr:nvSpPr>
      <xdr:spPr>
        <a:xfrm>
          <a:off x="8086725" y="790575"/>
          <a:ext cx="1209675" cy="56007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0" i="0" u="none" strike="noStrike">
              <a:solidFill>
                <a:schemeClr val="dk1"/>
              </a:solidFill>
              <a:effectLst/>
              <a:latin typeface="+mn-lt"/>
              <a:ea typeface="+mn-ea"/>
              <a:cs typeface="+mn-cs"/>
            </a:rPr>
            <a:t>Total number of reviews</a:t>
          </a:r>
          <a:r>
            <a:rPr lang="en-US" sz="1100" b="0" i="0" u="none" strike="noStrike" baseline="0">
              <a:solidFill>
                <a:schemeClr val="dk1"/>
              </a:solidFill>
              <a:effectLst/>
              <a:latin typeface="+mn-lt"/>
              <a:ea typeface="+mn-ea"/>
              <a:cs typeface="+mn-cs"/>
            </a:rPr>
            <a:t> = 723</a:t>
          </a:r>
          <a:endParaRPr lang="en-US" sz="1100"/>
        </a:p>
      </xdr:txBody>
    </xdr:sp>
    <xdr:clientData/>
  </xdr:twoCellAnchor>
  <xdr:twoCellAnchor>
    <xdr:from>
      <xdr:col>4</xdr:col>
      <xdr:colOff>47625</xdr:colOff>
      <xdr:row>0</xdr:row>
      <xdr:rowOff>152400</xdr:rowOff>
    </xdr:from>
    <xdr:to>
      <xdr:col>13</xdr:col>
      <xdr:colOff>24765</xdr:colOff>
      <xdr:row>1</xdr:row>
      <xdr:rowOff>415290</xdr:rowOff>
    </xdr:to>
    <xdr:sp macro="" textlink="">
      <xdr:nvSpPr>
        <xdr:cNvPr id="14" name="Rectangle: Rounded Corners 13">
          <a:extLst>
            <a:ext uri="{FF2B5EF4-FFF2-40B4-BE49-F238E27FC236}">
              <a16:creationId xmlns:a16="http://schemas.microsoft.com/office/drawing/2014/main" id="{23A05459-CC72-B5D6-5EFB-721A6A1827F4}"/>
            </a:ext>
          </a:extLst>
        </xdr:cNvPr>
        <xdr:cNvSpPr/>
      </xdr:nvSpPr>
      <xdr:spPr>
        <a:xfrm>
          <a:off x="2486025" y="152400"/>
          <a:ext cx="5463540" cy="44386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2200" b="1" i="0" u="none" strike="noStrike">
              <a:solidFill>
                <a:schemeClr val="dk1"/>
              </a:solidFill>
              <a:effectLst/>
              <a:latin typeface="+mn-lt"/>
              <a:ea typeface="+mn-ea"/>
              <a:cs typeface="+mn-cs"/>
            </a:rPr>
            <a:t>JUMIA PRODUCT PERFORMANCE ANALYSIS</a:t>
          </a:r>
          <a:r>
            <a:rPr lang="en-US" sz="2200">
              <a:effectLst/>
            </a:rPr>
            <a:t> </a:t>
          </a:r>
          <a:endParaRPr lang="en-US" sz="2200"/>
        </a:p>
      </xdr:txBody>
    </xdr:sp>
    <xdr:clientData/>
  </xdr:twoCellAnchor>
  <xdr:twoCellAnchor>
    <xdr:from>
      <xdr:col>16</xdr:col>
      <xdr:colOff>604468</xdr:colOff>
      <xdr:row>1</xdr:row>
      <xdr:rowOff>60338</xdr:rowOff>
    </xdr:from>
    <xdr:to>
      <xdr:col>24</xdr:col>
      <xdr:colOff>299668</xdr:colOff>
      <xdr:row>14</xdr:row>
      <xdr:rowOff>170750</xdr:rowOff>
    </xdr:to>
    <xdr:graphicFrame macro="">
      <xdr:nvGraphicFramePr>
        <xdr:cNvPr id="17" name="Chart 16">
          <a:extLst>
            <a:ext uri="{FF2B5EF4-FFF2-40B4-BE49-F238E27FC236}">
              <a16:creationId xmlns:a16="http://schemas.microsoft.com/office/drawing/2014/main" id="{B5D75D3A-972F-45BD-9678-CCF11206F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15551</xdr:colOff>
      <xdr:row>16</xdr:row>
      <xdr:rowOff>15551</xdr:rowOff>
    </xdr:from>
    <xdr:to>
      <xdr:col>24</xdr:col>
      <xdr:colOff>320351</xdr:colOff>
      <xdr:row>31</xdr:row>
      <xdr:rowOff>15551</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E63590D2-8490-4D23-B062-F704F54766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325878" y="3250163"/>
              <a:ext cx="4550228" cy="27991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590784</xdr:colOff>
      <xdr:row>32</xdr:row>
      <xdr:rowOff>20061</xdr:rowOff>
    </xdr:from>
    <xdr:to>
      <xdr:col>24</xdr:col>
      <xdr:colOff>285984</xdr:colOff>
      <xdr:row>47</xdr:row>
      <xdr:rowOff>20061</xdr:rowOff>
    </xdr:to>
    <xdr:graphicFrame macro="">
      <xdr:nvGraphicFramePr>
        <xdr:cNvPr id="19" name="Chart 18">
          <a:extLst>
            <a:ext uri="{FF2B5EF4-FFF2-40B4-BE49-F238E27FC236}">
              <a16:creationId xmlns:a16="http://schemas.microsoft.com/office/drawing/2014/main" id="{EDF60584-DDA7-4142-ABEC-7FE1B95EA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614515</xdr:colOff>
      <xdr:row>42</xdr:row>
      <xdr:rowOff>31101</xdr:rowOff>
    </xdr:from>
    <xdr:to>
      <xdr:col>16</xdr:col>
      <xdr:colOff>307257</xdr:colOff>
      <xdr:row>57</xdr:row>
      <xdr:rowOff>31102</xdr:rowOff>
    </xdr:to>
    <xdr:graphicFrame macro="">
      <xdr:nvGraphicFramePr>
        <xdr:cNvPr id="20" name="Chart 19">
          <a:extLst>
            <a:ext uri="{FF2B5EF4-FFF2-40B4-BE49-F238E27FC236}">
              <a16:creationId xmlns:a16="http://schemas.microsoft.com/office/drawing/2014/main" id="{F58A0E4F-3F93-407C-A57A-46429B72E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528113</xdr:colOff>
      <xdr:row>49</xdr:row>
      <xdr:rowOff>21305</xdr:rowOff>
    </xdr:from>
    <xdr:to>
      <xdr:col>24</xdr:col>
      <xdr:colOff>226423</xdr:colOff>
      <xdr:row>64</xdr:row>
      <xdr:rowOff>21305</xdr:rowOff>
    </xdr:to>
    <xdr:graphicFrame macro="">
      <xdr:nvGraphicFramePr>
        <xdr:cNvPr id="21" name="Chart 20">
          <a:extLst>
            <a:ext uri="{FF2B5EF4-FFF2-40B4-BE49-F238E27FC236}">
              <a16:creationId xmlns:a16="http://schemas.microsoft.com/office/drawing/2014/main" id="{C033F041-4BB5-4B42-B3D0-8BB4544C2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319549</xdr:colOff>
      <xdr:row>57</xdr:row>
      <xdr:rowOff>147483</xdr:rowOff>
    </xdr:from>
    <xdr:to>
      <xdr:col>3</xdr:col>
      <xdr:colOff>304801</xdr:colOff>
      <xdr:row>71</xdr:row>
      <xdr:rowOff>147791</xdr:rowOff>
    </xdr:to>
    <mc:AlternateContent xmlns:mc="http://schemas.openxmlformats.org/markup-compatibility/2006">
      <mc:Choice xmlns:sle15="http://schemas.microsoft.com/office/drawing/2012/slicer" Requires="sle15">
        <xdr:graphicFrame macro="">
          <xdr:nvGraphicFramePr>
            <xdr:cNvPr id="22" name="rating category 1">
              <a:extLst>
                <a:ext uri="{FF2B5EF4-FFF2-40B4-BE49-F238E27FC236}">
                  <a16:creationId xmlns:a16="http://schemas.microsoft.com/office/drawing/2014/main" id="{D356E4FC-5543-4B44-86D3-1AE85C248FC8}"/>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323359" y="10914973"/>
              <a:ext cx="1824990" cy="25812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0</xdr:colOff>
      <xdr:row>58</xdr:row>
      <xdr:rowOff>0</xdr:rowOff>
    </xdr:from>
    <xdr:to>
      <xdr:col>6</xdr:col>
      <xdr:colOff>599769</xdr:colOff>
      <xdr:row>72</xdr:row>
      <xdr:rowOff>307</xdr:rowOff>
    </xdr:to>
    <mc:AlternateContent xmlns:mc="http://schemas.openxmlformats.org/markup-compatibility/2006">
      <mc:Choice xmlns:sle15="http://schemas.microsoft.com/office/drawing/2012/slicer" Requires="sle15">
        <xdr:graphicFrame macro="">
          <xdr:nvGraphicFramePr>
            <xdr:cNvPr id="23" name="Discount category 2">
              <a:extLst>
                <a:ext uri="{FF2B5EF4-FFF2-40B4-BE49-F238E27FC236}">
                  <a16:creationId xmlns:a16="http://schemas.microsoft.com/office/drawing/2014/main" id="{9A0E51FA-CAE7-4C7F-B300-BB83D295910D}"/>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dr:sp macro="" textlink="">
          <xdr:nvSpPr>
            <xdr:cNvPr id="0" name=""/>
            <xdr:cNvSpPr>
              <a:spLocks noTextEdit="1"/>
            </xdr:cNvSpPr>
          </xdr:nvSpPr>
          <xdr:spPr>
            <a:xfrm>
              <a:off x="2458065" y="10953750"/>
              <a:ext cx="1826896"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0</xdr:colOff>
      <xdr:row>58</xdr:row>
      <xdr:rowOff>0</xdr:rowOff>
    </xdr:from>
    <xdr:to>
      <xdr:col>10</xdr:col>
      <xdr:colOff>608050</xdr:colOff>
      <xdr:row>72</xdr:row>
      <xdr:rowOff>307</xdr:rowOff>
    </xdr:to>
    <mc:AlternateContent xmlns:mc="http://schemas.openxmlformats.org/markup-compatibility/2006">
      <mc:Choice xmlns:sle15="http://schemas.microsoft.com/office/drawing/2012/slicer" Requires="sle15">
        <xdr:graphicFrame macro="">
          <xdr:nvGraphicFramePr>
            <xdr:cNvPr id="24" name="price category 1">
              <a:extLst>
                <a:ext uri="{FF2B5EF4-FFF2-40B4-BE49-F238E27FC236}">
                  <a16:creationId xmlns:a16="http://schemas.microsoft.com/office/drawing/2014/main" id="{40B0E463-4BC3-4B70-9E95-A66536115EE5}"/>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4916129" y="10953750"/>
              <a:ext cx="1837082"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ial Doap" refreshedDate="46273.127578703701" createdVersion="8" refreshedVersion="8" minRefreshableVersion="3" recordCount="115" xr:uid="{6FCF1BA6-6D07-46B6-959C-D253B48B37B1}">
  <cacheSource type="worksheet">
    <worksheetSource name="Table1"/>
  </cacheSource>
  <cacheFields count="10">
    <cacheField name="Product" numFmtId="0">
      <sharedItems/>
    </cacheField>
    <cacheField name="Current price" numFmtId="1">
      <sharedItems containsSemiMixedTypes="0" containsString="0" containsNumber="1" containsInteger="1" minValue="38" maxValue="3750"/>
    </cacheField>
    <cacheField name="price category" numFmtId="1">
      <sharedItems count="3">
        <s v="High Price"/>
        <s v="Medium Price"/>
        <s v="Low Price"/>
      </sharedItems>
    </cacheField>
    <cacheField name="old price" numFmtId="1">
      <sharedItems containsSemiMixedTypes="0" containsString="0" containsNumber="1" containsInteger="1" minValue="80" maxValue="6143"/>
    </cacheField>
    <cacheField name="Discount Amount" numFmtId="1">
      <sharedItems containsSemiMixedTypes="0" containsString="0" containsNumber="1" containsInteger="1" minValue="24" maxValue="2585"/>
    </cacheField>
    <cacheField name="Discount category" numFmtId="0">
      <sharedItems count="3">
        <s v="Medium Discount"/>
        <s v="Low Discount"/>
        <s v="High Discount"/>
      </sharedItems>
    </cacheField>
    <cacheField name="Discount" numFmtId="9">
      <sharedItems containsSemiMixedTypes="0" containsString="0" containsNumber="1" minValue="0.01" maxValue="0.64"/>
    </cacheField>
    <cacheField name="Review" numFmtId="0">
      <sharedItems containsString="0" containsBlank="1" containsNumber="1" containsInteger="1" minValue="1" maxValue="69" count="24">
        <n v="5"/>
        <n v="1"/>
        <m/>
        <n v="15"/>
        <n v="12"/>
        <n v="55"/>
        <n v="24"/>
        <n v="6"/>
        <n v="13"/>
        <n v="7"/>
        <n v="3"/>
        <n v="32"/>
        <n v="20"/>
        <n v="9"/>
        <n v="2"/>
        <n v="14"/>
        <n v="16"/>
        <n v="44"/>
        <n v="39"/>
        <n v="10"/>
        <n v="69"/>
        <n v="49"/>
        <n v="36"/>
        <n v="17"/>
      </sharedItems>
    </cacheField>
    <cacheField name="rating category" numFmtId="0">
      <sharedItems count="3">
        <s v="Average"/>
        <s v="Excellent"/>
        <s v="Poor"/>
      </sharedItems>
    </cacheField>
    <cacheField name="Rating" numFmtId="164">
      <sharedItems containsString="0" containsBlank="1" containsNumber="1" minValue="2" maxValue="5"/>
    </cacheField>
  </cacheFields>
  <extLst>
    <ext xmlns:x14="http://schemas.microsoft.com/office/spreadsheetml/2009/9/main" uri="{725AE2AE-9491-48be-B2B4-4EB974FC3084}">
      <x14:pivotCacheDefinition pivotCacheId="2042473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32PCS Portable Cordless Drill Set With Cyclic Battery Drive -26 Variable Speed"/>
    <n v="3750"/>
    <x v="0"/>
    <n v="6143"/>
    <n v="2393"/>
    <x v="0"/>
    <n v="0.39"/>
    <x v="0"/>
    <x v="0"/>
    <n v="3"/>
  </r>
  <r>
    <s v="Konka Healty Electric Kettle, 24-hour Heat Preservation,1.5L,800W, White"/>
    <n v="3640"/>
    <x v="0"/>
    <n v="4588"/>
    <n v="948"/>
    <x v="0"/>
    <n v="0.21"/>
    <x v="1"/>
    <x v="1"/>
    <n v="5"/>
  </r>
  <r>
    <s v="Metal Wall Clock Silver Dial Crystal Jewelry Round Home Decoration Wall Clock"/>
    <n v="3546"/>
    <x v="0"/>
    <n v="3699"/>
    <n v="153"/>
    <x v="1"/>
    <n v="0.04"/>
    <x v="2"/>
    <x v="2"/>
    <m/>
  </r>
  <r>
    <s v="220V 60W Electric Soldering Iron Kits With Tools, Tips, And Multimeter"/>
    <n v="2999"/>
    <x v="0"/>
    <n v="3290"/>
    <n v="291"/>
    <x v="1"/>
    <n v="0.09"/>
    <x v="3"/>
    <x v="1"/>
    <n v="4"/>
  </r>
  <r>
    <s v="LED Wall Digital Alarm Clock Study Home 12 / 24H Clock Calendar"/>
    <n v="2999"/>
    <x v="0"/>
    <n v="3699"/>
    <n v="700"/>
    <x v="1"/>
    <n v="0.19"/>
    <x v="0"/>
    <x v="1"/>
    <n v="4.5999999999999996"/>
  </r>
  <r>
    <s v="Portable Wardrobe Nonwoven With 3 Hanging Rods And 6 Storage Shelves"/>
    <n v="2880"/>
    <x v="0"/>
    <n v="3520"/>
    <n v="640"/>
    <x v="1"/>
    <n v="0.18"/>
    <x v="4"/>
    <x v="0"/>
    <n v="3.8"/>
  </r>
  <r>
    <s v="12V 19500rpm Handheld Electric Angle Grinder Tool - UK - Yellow/Black"/>
    <n v="2799"/>
    <x v="0"/>
    <n v="3810"/>
    <n v="1011"/>
    <x v="0"/>
    <n v="0.27"/>
    <x v="2"/>
    <x v="2"/>
    <m/>
  </r>
  <r>
    <s v="LASA Stainless Steel Double Wall Mount Soap Dispenser - 500ml"/>
    <n v="2750"/>
    <x v="0"/>
    <n v="4471"/>
    <n v="1721"/>
    <x v="0"/>
    <n v="0.38"/>
    <x v="2"/>
    <x v="2"/>
    <m/>
  </r>
  <r>
    <s v="137 Pieces Cake Decorating Tool Set Baking Supplies"/>
    <n v="2319"/>
    <x v="0"/>
    <n v="3032"/>
    <n v="713"/>
    <x v="0"/>
    <n v="0.24"/>
    <x v="5"/>
    <x v="1"/>
    <n v="4.5999999999999996"/>
  </r>
  <r>
    <s v="Large Lazy Inflatable Sofa Chairs PVC Lounger Seat Bag"/>
    <n v="2300"/>
    <x v="0"/>
    <n v="3240"/>
    <n v="940"/>
    <x v="0"/>
    <n v="0.28999999999999998"/>
    <x v="0"/>
    <x v="0"/>
    <n v="3"/>
  </r>
  <r>
    <s v="MultiFunctional Storage Rack Multi-layer Bookshelf"/>
    <n v="2200"/>
    <x v="0"/>
    <n v="4080"/>
    <n v="1880"/>
    <x v="2"/>
    <n v="0.46"/>
    <x v="2"/>
    <x v="2"/>
    <m/>
  </r>
  <r>
    <s v="Portable Mini Cordless Car Vacuum Cleaner - Blue"/>
    <n v="2199"/>
    <x v="0"/>
    <n v="2923"/>
    <n v="724"/>
    <x v="0"/>
    <n v="0.25"/>
    <x v="6"/>
    <x v="1"/>
    <n v="4.5999999999999996"/>
  </r>
  <r>
    <s v="5 Pieces/set Of Stainless Steel Induction Cooker Pots"/>
    <n v="2170"/>
    <x v="0"/>
    <n v="2500"/>
    <n v="330"/>
    <x v="1"/>
    <n v="0.13"/>
    <x v="7"/>
    <x v="2"/>
    <n v="2.5"/>
  </r>
  <r>
    <s v="Shower Cap Wide Elastic Band Cover Reusable Bashroom Cap"/>
    <n v="2132"/>
    <x v="0"/>
    <n v="2169"/>
    <n v="37"/>
    <x v="1"/>
    <n v="0.02"/>
    <x v="2"/>
    <x v="2"/>
    <m/>
  </r>
  <r>
    <s v="5-PCS Stainless Steel Cooking Pot Set With Steamed Slices"/>
    <n v="2115"/>
    <x v="0"/>
    <n v="4700"/>
    <n v="2585"/>
    <x v="2"/>
    <n v="0.55000000000000004"/>
    <x v="8"/>
    <x v="2"/>
    <n v="2.1"/>
  </r>
  <r>
    <s v="LASA 3 Tier Bamboo Shoe Bench Storage Shelf"/>
    <n v="2048"/>
    <x v="0"/>
    <n v="4500"/>
    <n v="2452"/>
    <x v="2"/>
    <n v="0.54"/>
    <x v="9"/>
    <x v="1"/>
    <n v="4.3"/>
  </r>
  <r>
    <s v="LASA Aluminum Folding Truck Hand Cart - 68kg Max"/>
    <n v="2025"/>
    <x v="0"/>
    <n v="3971"/>
    <n v="1946"/>
    <x v="2"/>
    <n v="0.49"/>
    <x v="10"/>
    <x v="1"/>
    <n v="5"/>
  </r>
  <r>
    <s v="53 Pieces/Set Yarn Knitting Crochet Hooks With Bag - Pansies"/>
    <n v="1980"/>
    <x v="1"/>
    <n v="2699"/>
    <n v="719"/>
    <x v="0"/>
    <n v="0.27"/>
    <x v="11"/>
    <x v="1"/>
    <n v="4.5"/>
  </r>
  <r>
    <s v="53Pcs/Set Yarn Knitting Crochet Hooks With Bag - Fortune Cat"/>
    <n v="1940"/>
    <x v="1"/>
    <n v="2650"/>
    <n v="710"/>
    <x v="0"/>
    <n v="0.27"/>
    <x v="12"/>
    <x v="1"/>
    <n v="4.7"/>
  </r>
  <r>
    <s v="24 Grid Wall-mounted Sundries Organiser Fabric Closet Bag Storage Rack"/>
    <n v="1875"/>
    <x v="1"/>
    <n v="1899"/>
    <n v="24"/>
    <x v="1"/>
    <n v="0.01"/>
    <x v="2"/>
    <x v="2"/>
    <m/>
  </r>
  <r>
    <s v="4pcs Bathroom/Kitchen Towel Rack,Roll Paper Holder,Towel Bars,Hook"/>
    <n v="1860"/>
    <x v="1"/>
    <n v="3220"/>
    <n v="1360"/>
    <x v="2"/>
    <n v="0.42"/>
    <x v="2"/>
    <x v="2"/>
    <m/>
  </r>
  <r>
    <s v="LED Eye Protection  Desk Lamp , Study, Reading, USB Fan - Double Pen Holder"/>
    <n v="1820"/>
    <x v="1"/>
    <n v="3490"/>
    <n v="1670"/>
    <x v="2"/>
    <n v="0.48"/>
    <x v="13"/>
    <x v="1"/>
    <n v="4.3"/>
  </r>
  <r>
    <s v="1/2/3 Seater Elastic Sofa Cover,Living Room/Home Decor Chair Cover-Grey"/>
    <n v="1800"/>
    <x v="1"/>
    <n v="2700"/>
    <n v="900"/>
    <x v="0"/>
    <n v="0.38"/>
    <x v="14"/>
    <x v="1"/>
    <n v="4.5"/>
  </r>
  <r>
    <s v="Thickening Multipurpose Non Stick Easy To Clean Heat Resistant Spoon Pad"/>
    <n v="1768"/>
    <x v="1"/>
    <n v="1799"/>
    <n v="31"/>
    <x v="1"/>
    <n v="0.02"/>
    <x v="2"/>
    <x v="2"/>
    <m/>
  </r>
  <r>
    <s v="52 Pieces Cake Decorating Tool Set Gift Kit Baking Supplies"/>
    <n v="1758"/>
    <x v="1"/>
    <n v="2499"/>
    <n v="741"/>
    <x v="0"/>
    <n v="0.3"/>
    <x v="12"/>
    <x v="1"/>
    <n v="4.0999999999999996"/>
  </r>
  <r>
    <s v="Portable Home Small Air Humidifier 3-Speed Fan - Green"/>
    <n v="1740"/>
    <x v="1"/>
    <n v="2356"/>
    <n v="616"/>
    <x v="0"/>
    <n v="0.26"/>
    <x v="0"/>
    <x v="1"/>
    <n v="4.8"/>
  </r>
  <r>
    <s v="Cushion Silicone Butt Cushion Summer Ice Cushion Honeycomb Gel Cushion"/>
    <n v="1732"/>
    <x v="1"/>
    <n v="1799"/>
    <n v="67"/>
    <x v="1"/>
    <n v="0.04"/>
    <x v="2"/>
    <x v="2"/>
    <m/>
  </r>
  <r>
    <s v="Multifunction Laser Level With Adjustment Tripod"/>
    <n v="1680"/>
    <x v="1"/>
    <n v="2499"/>
    <n v="819"/>
    <x v="0"/>
    <n v="0.33"/>
    <x v="13"/>
    <x v="1"/>
    <n v="4.2"/>
  </r>
  <r>
    <s v="2 Pairs Cowhide Split Leather Work Gloves.32â„‰ Or Above Welding Gloves"/>
    <n v="1666"/>
    <x v="1"/>
    <n v="1699"/>
    <n v="33"/>
    <x v="1"/>
    <n v="0.02"/>
    <x v="2"/>
    <x v="2"/>
    <m/>
  </r>
  <r>
    <s v="Pen Grips For Kids Pen Grip Posture Correction Tool For Kids"/>
    <n v="1660"/>
    <x v="1"/>
    <n v="1699"/>
    <n v="39"/>
    <x v="1"/>
    <n v="0.02"/>
    <x v="2"/>
    <x v="2"/>
    <m/>
  </r>
  <r>
    <s v="Shower Nozzle Cleaning Unclogging Needle Mini Crevice Small Hole Cleaning Brush"/>
    <n v="1658"/>
    <x v="1"/>
    <n v="1699"/>
    <n v="41"/>
    <x v="1"/>
    <n v="0.02"/>
    <x v="2"/>
    <x v="2"/>
    <m/>
  </r>
  <r>
    <s v="Foldable Overbed Table/Desk"/>
    <n v="1650"/>
    <x v="1"/>
    <n v="2150"/>
    <n v="500"/>
    <x v="0"/>
    <n v="0.23"/>
    <x v="15"/>
    <x v="1"/>
    <n v="4.4000000000000004"/>
  </r>
  <r>
    <s v="DIY File Folder, Office Drawer File Holder, Pen Holder, Desktop Storage Rack"/>
    <n v="1620"/>
    <x v="1"/>
    <n v="2690"/>
    <n v="1070"/>
    <x v="0"/>
    <n v="0.4"/>
    <x v="1"/>
    <x v="1"/>
    <n v="5"/>
  </r>
  <r>
    <s v="13 In 1 Home Repair Tools Box Kit Set"/>
    <n v="1600"/>
    <x v="1"/>
    <n v="2929"/>
    <n v="1329"/>
    <x v="2"/>
    <n v="0.45"/>
    <x v="0"/>
    <x v="0"/>
    <n v="3.8"/>
  </r>
  <r>
    <s v="Weighing Scale Digital Bathroom Body Fat Scale USB-Black"/>
    <n v="1580"/>
    <x v="1"/>
    <n v="2499"/>
    <n v="919"/>
    <x v="0"/>
    <n v="0.37"/>
    <x v="9"/>
    <x v="1"/>
    <n v="4.7"/>
  </r>
  <r>
    <s v="Electric LED UV Mosquito Killer Lamp, Outdoor/Indoor Fly Killer Trap Light -USB"/>
    <n v="1570"/>
    <x v="1"/>
    <n v="2988"/>
    <n v="1418"/>
    <x v="2"/>
    <n v="0.47"/>
    <x v="9"/>
    <x v="2"/>
    <n v="2.1"/>
  </r>
  <r>
    <s v="Wall Mount Automatic Toothpaste Dispenser Toothbrush Holder Toothpaste Squeezer"/>
    <n v="1526"/>
    <x v="1"/>
    <n v="1660"/>
    <n v="134"/>
    <x v="1"/>
    <n v="0.08"/>
    <x v="2"/>
    <x v="2"/>
    <m/>
  </r>
  <r>
    <s v="Wall-Mounted Toothbrush Toothpaste Holder With Multiple Slots"/>
    <n v="1468"/>
    <x v="1"/>
    <n v="1699"/>
    <n v="231"/>
    <x v="1"/>
    <n v="0.14000000000000001"/>
    <x v="2"/>
    <x v="2"/>
    <m/>
  </r>
  <r>
    <s v="Office Chair Lumbar Back Support Spine Posture Correction Pillow Car Cushion"/>
    <n v="1466"/>
    <x v="1"/>
    <n v="1699"/>
    <n v="233"/>
    <x v="1"/>
    <n v="0.14000000000000001"/>
    <x v="2"/>
    <x v="2"/>
    <m/>
  </r>
  <r>
    <s v="Portable Soap Dispenser Kitchen Detergent Press Box Kitchen Tools"/>
    <n v="1462"/>
    <x v="1"/>
    <n v="1499"/>
    <n v="37"/>
    <x v="1"/>
    <n v="0.02"/>
    <x v="2"/>
    <x v="2"/>
    <m/>
  </r>
  <r>
    <s v="5m Waterproof Spherical LED String Lights Outdoor Ball Chain Lights Party Lighting Decoration Adjustable"/>
    <n v="1460"/>
    <x v="1"/>
    <n v="2290"/>
    <n v="830"/>
    <x v="0"/>
    <n v="0.36"/>
    <x v="2"/>
    <x v="2"/>
    <m/>
  </r>
  <r>
    <s v="Multi-purpose Rice Drainage Basket And Fruit And Vegetable Drainage Sieve"/>
    <n v="1459"/>
    <x v="1"/>
    <n v="1499"/>
    <n v="40"/>
    <x v="1"/>
    <n v="0.03"/>
    <x v="2"/>
    <x v="2"/>
    <m/>
  </r>
  <r>
    <s v="9pcs Gas Mask, For Painting, Dust, Formaldehyde Grinding, Polishing"/>
    <n v="1420"/>
    <x v="1"/>
    <n v="2420"/>
    <n v="1000"/>
    <x v="2"/>
    <n v="0.41"/>
    <x v="2"/>
    <x v="2"/>
    <m/>
  </r>
  <r>
    <s v="12 Litre Black Insulated Lunch Box"/>
    <n v="1350"/>
    <x v="1"/>
    <n v="1990"/>
    <n v="640"/>
    <x v="0"/>
    <n v="0.32"/>
    <x v="8"/>
    <x v="0"/>
    <n v="3.8"/>
  </r>
  <r>
    <s v="Portable Wine Table With Folding Round Table"/>
    <n v="1300"/>
    <x v="1"/>
    <n v="2500"/>
    <n v="1200"/>
    <x v="2"/>
    <n v="0.48"/>
    <x v="2"/>
    <x v="2"/>
    <m/>
  </r>
  <r>
    <s v="LASA FOLDING TABLE SERVING STAND"/>
    <n v="1274"/>
    <x v="1"/>
    <n v="2800"/>
    <n v="1526"/>
    <x v="2"/>
    <n v="0.55000000000000004"/>
    <x v="0"/>
    <x v="1"/>
    <n v="4.8"/>
  </r>
  <r>
    <s v="VIC Wireless Vacuum Cleaner Dual Use For Home And Car 120W High Power Powerful"/>
    <n v="1220"/>
    <x v="1"/>
    <n v="1555"/>
    <n v="335"/>
    <x v="0"/>
    <n v="0.22"/>
    <x v="16"/>
    <x v="2"/>
    <n v="2.9"/>
  </r>
  <r>
    <s v="2pcs Solar Street Light Flood Light Outdoor"/>
    <n v="1200"/>
    <x v="1"/>
    <n v="1950"/>
    <n v="750"/>
    <x v="0"/>
    <n v="0.38"/>
    <x v="2"/>
    <x v="2"/>
    <m/>
  </r>
  <r>
    <s v="2PCS Ice Silk Square Cushion Cover Pillowcases - 65x65cm"/>
    <n v="1200"/>
    <x v="1"/>
    <n v="2400"/>
    <n v="1200"/>
    <x v="2"/>
    <n v="0.5"/>
    <x v="2"/>
    <x v="2"/>
    <m/>
  </r>
  <r>
    <s v="60W Hot Melt Glue Sprayer - Efficient And Stable Glue Dispensing"/>
    <n v="1190"/>
    <x v="1"/>
    <n v="1785"/>
    <n v="595"/>
    <x v="0"/>
    <n v="0.33"/>
    <x v="2"/>
    <x v="2"/>
    <m/>
  </r>
  <r>
    <s v="Cartoon Embroidered Mini Towel Bear Cotton Wash Cloth Hand 4pcs"/>
    <n v="1190"/>
    <x v="1"/>
    <n v="1810"/>
    <n v="620"/>
    <x v="0"/>
    <n v="0.34"/>
    <x v="2"/>
    <x v="2"/>
    <m/>
  </r>
  <r>
    <s v="Memory Foam Neck Pillow Cover, With Pillow Core - 50*30cm"/>
    <n v="1189"/>
    <x v="1"/>
    <n v="2199"/>
    <n v="1010"/>
    <x v="2"/>
    <n v="0.46"/>
    <x v="1"/>
    <x v="0"/>
    <n v="3"/>
  </r>
  <r>
    <s v="LED Solar Street Light-fake Camera"/>
    <n v="1150"/>
    <x v="1"/>
    <n v="1737"/>
    <n v="587"/>
    <x v="0"/>
    <n v="0.34"/>
    <x v="2"/>
    <x v="2"/>
    <m/>
  </r>
  <r>
    <s v="8in1 Screwdriver With LED Light"/>
    <n v="1080"/>
    <x v="1"/>
    <n v="1874"/>
    <n v="794"/>
    <x v="2"/>
    <n v="0.42"/>
    <x v="2"/>
    <x v="2"/>
    <m/>
  </r>
  <r>
    <s v="380ML USB Rechargeable Portable Small Blenders And Juicers"/>
    <n v="1000"/>
    <x v="1"/>
    <n v="2000"/>
    <n v="1000"/>
    <x v="2"/>
    <n v="0.5"/>
    <x v="9"/>
    <x v="2"/>
    <n v="2.2999999999999998"/>
  </r>
  <r>
    <s v="Christmas Elk Fence Yard Lawn Decorations Cute For Holidays"/>
    <n v="999"/>
    <x v="1"/>
    <n v="2000"/>
    <n v="1001"/>
    <x v="2"/>
    <n v="0.5"/>
    <x v="2"/>
    <x v="2"/>
    <m/>
  </r>
  <r>
    <s v="3D Waterproof EVA Plastic Shower Curtain 1.8*2Mtrs"/>
    <n v="998"/>
    <x v="1"/>
    <n v="1966"/>
    <n v="968"/>
    <x v="2"/>
    <n v="0.49"/>
    <x v="17"/>
    <x v="1"/>
    <n v="4.5999999999999996"/>
  </r>
  <r>
    <s v="100 Pcs Crochet Hook Tool Set Knitting Hook Set With Box"/>
    <n v="990"/>
    <x v="1"/>
    <n v="1500"/>
    <n v="510"/>
    <x v="0"/>
    <n v="0.34"/>
    <x v="18"/>
    <x v="1"/>
    <n v="4.7"/>
  </r>
  <r>
    <s v="Artificial Potted Flowers Room Decorative Flowers (2 Pieces)"/>
    <n v="990"/>
    <x v="1"/>
    <n v="1814"/>
    <n v="824"/>
    <x v="2"/>
    <n v="0.45"/>
    <x v="7"/>
    <x v="2"/>
    <n v="2.2000000000000002"/>
  </r>
  <r>
    <s v="Desk Foldable Fan Adjustable Fan Strong Wind 3 Gear Usb"/>
    <n v="988"/>
    <x v="1"/>
    <n v="1580"/>
    <n v="592"/>
    <x v="0"/>
    <n v="0.37"/>
    <x v="14"/>
    <x v="1"/>
    <n v="4"/>
  </r>
  <r>
    <s v="12 Litre Insulated Lunch Box Grey"/>
    <n v="980"/>
    <x v="1"/>
    <n v="1490"/>
    <n v="510"/>
    <x v="0"/>
    <n v="0.34"/>
    <x v="4"/>
    <x v="1"/>
    <n v="4.7"/>
  </r>
  <r>
    <s v="Bedroom Simple Floor Hanging Clothes Rack Single Pole Hat Rack - White"/>
    <n v="979"/>
    <x v="1"/>
    <n v="1920"/>
    <n v="941"/>
    <x v="2"/>
    <n v="0.49"/>
    <x v="1"/>
    <x v="1"/>
    <n v="5"/>
  </r>
  <r>
    <s v="7-piece Set Of Storage Bags, Travel Storage Bags, Shoe Bags"/>
    <n v="968"/>
    <x v="1"/>
    <n v="1814"/>
    <n v="846"/>
    <x v="2"/>
    <n v="0.47"/>
    <x v="7"/>
    <x v="2"/>
    <n v="2.2000000000000002"/>
  </r>
  <r>
    <s v="115  Piece Set Of Multifunctional Precision Screwdrivers"/>
    <n v="950"/>
    <x v="1"/>
    <n v="1525"/>
    <n v="575"/>
    <x v="0"/>
    <n v="0.38"/>
    <x v="14"/>
    <x v="1"/>
    <n v="4.5"/>
  </r>
  <r>
    <s v="6 Layers Steel Pipe Assembling Dustproof Storage Shoe Cabinet"/>
    <n v="899"/>
    <x v="1"/>
    <n v="1699"/>
    <n v="800"/>
    <x v="2"/>
    <n v="0.47"/>
    <x v="2"/>
    <x v="2"/>
    <m/>
  </r>
  <r>
    <s v="6 Layers Steel Pipe Assembling Dustproof Storage Shoe Cabinet"/>
    <n v="899"/>
    <x v="1"/>
    <n v="1699"/>
    <n v="800"/>
    <x v="2"/>
    <n v="0.47"/>
    <x v="2"/>
    <x v="2"/>
    <m/>
  </r>
  <r>
    <s v="LED Romantic Spaceship Starry Sky Projector,Children's Bedroom Night Light-Blue"/>
    <n v="880"/>
    <x v="1"/>
    <n v="1350"/>
    <n v="470"/>
    <x v="0"/>
    <n v="0.35"/>
    <x v="7"/>
    <x v="1"/>
    <n v="4"/>
  </r>
  <r>
    <s v="Wall Clock With Hidden Safe Box"/>
    <n v="850"/>
    <x v="1"/>
    <n v="1700"/>
    <n v="850"/>
    <x v="2"/>
    <n v="0.5"/>
    <x v="2"/>
    <x v="2"/>
    <m/>
  </r>
  <r>
    <s v="Genebre 115 In 1 Screwdriver Repairing Tool Set For IPhone Cellphone Hand Tool"/>
    <n v="799"/>
    <x v="1"/>
    <n v="999"/>
    <n v="200"/>
    <x v="0"/>
    <n v="0.2"/>
    <x v="4"/>
    <x v="1"/>
    <n v="4.0999999999999996"/>
  </r>
  <r>
    <s v="Cute Christmas Fence Garden Decorations For Holiday Home"/>
    <n v="799"/>
    <x v="1"/>
    <n v="1343"/>
    <n v="544"/>
    <x v="2"/>
    <n v="0.41"/>
    <x v="2"/>
    <x v="2"/>
    <m/>
  </r>
  <r>
    <s v="Angle Measuring Tool Full Metal Multi Angle Measuring Tool"/>
    <n v="799"/>
    <x v="1"/>
    <n v="1567"/>
    <n v="768"/>
    <x v="2"/>
    <n v="0.49"/>
    <x v="2"/>
    <x v="2"/>
    <m/>
  </r>
  <r>
    <s v="Outdoor Portable Water Bottle With Medicine Box - 600ML - Black"/>
    <n v="799"/>
    <x v="1"/>
    <n v="900"/>
    <n v="101"/>
    <x v="1"/>
    <n v="0.11"/>
    <x v="2"/>
    <x v="2"/>
    <m/>
  </r>
  <r>
    <s v="2PCS/LOT Solar LED Outdoor Intelligent Light Controlled Wall Lamp"/>
    <n v="790"/>
    <x v="1"/>
    <n v="1485"/>
    <n v="695"/>
    <x v="2"/>
    <n v="0.47"/>
    <x v="2"/>
    <x v="2"/>
    <m/>
  </r>
  <r>
    <s v="Christmas Fence Garden Decorations Outdoor For Holiday Home"/>
    <n v="699"/>
    <x v="1"/>
    <n v="1343"/>
    <n v="644"/>
    <x v="2"/>
    <n v="0.48"/>
    <x v="2"/>
    <x v="2"/>
    <m/>
  </r>
  <r>
    <s v="3PCS Rotary Scraper Thermomix For Kitchen"/>
    <n v="690"/>
    <x v="1"/>
    <n v="1200"/>
    <n v="510"/>
    <x v="2"/>
    <n v="0.43"/>
    <x v="2"/>
    <x v="2"/>
    <m/>
  </r>
  <r>
    <s v="Car Phone Charging Stand"/>
    <n v="671"/>
    <x v="1"/>
    <n v="1316"/>
    <n v="645"/>
    <x v="2"/>
    <n v="0.49"/>
    <x v="2"/>
    <x v="2"/>
    <m/>
  </r>
  <r>
    <s v="Angle Measuring Tool Full Metal Multi Angle Measuring Tool"/>
    <n v="657"/>
    <x v="1"/>
    <n v="1288"/>
    <n v="631"/>
    <x v="2"/>
    <n v="0.49"/>
    <x v="2"/>
    <x v="2"/>
    <m/>
  </r>
  <r>
    <s v="Multifunctional Hanging Storage Box Storage Bag (4 Layers)"/>
    <n v="630"/>
    <x v="1"/>
    <n v="1100"/>
    <n v="470"/>
    <x v="2"/>
    <n v="0.43"/>
    <x v="2"/>
    <x v="2"/>
    <m/>
  </r>
  <r>
    <s v="Balloon Insert, Birthday Party Balloon Set, PU Leather"/>
    <n v="610"/>
    <x v="1"/>
    <n v="1060"/>
    <n v="450"/>
    <x v="2"/>
    <n v="0.42"/>
    <x v="2"/>
    <x v="2"/>
    <m/>
  </r>
  <r>
    <s v="Balloon Insert, Birthday Party Balloon Set, PU Leather"/>
    <n v="610"/>
    <x v="1"/>
    <n v="1060"/>
    <n v="450"/>
    <x v="2"/>
    <n v="0.42"/>
    <x v="2"/>
    <x v="2"/>
    <m/>
  </r>
  <r>
    <s v="Balloon Insert, Birthday Party Balloon Set, PU Leather"/>
    <n v="610"/>
    <x v="1"/>
    <n v="1060"/>
    <n v="450"/>
    <x v="2"/>
    <n v="0.42"/>
    <x v="2"/>
    <x v="2"/>
    <m/>
  </r>
  <r>
    <s v="40cm Gold DIY Acrylic Wall Sticker Clock"/>
    <n v="552"/>
    <x v="1"/>
    <n v="1035"/>
    <n v="483"/>
    <x v="2"/>
    <n v="0.47"/>
    <x v="4"/>
    <x v="1"/>
    <n v="4.8"/>
  </r>
  <r>
    <s v="Metal Decorative Hooks Key Hangers Entryway Wall Hooks Towel Hooks - Home"/>
    <n v="527"/>
    <x v="1"/>
    <n v="999"/>
    <n v="472"/>
    <x v="2"/>
    <n v="0.47"/>
    <x v="15"/>
    <x v="1"/>
    <n v="4.0999999999999996"/>
  </r>
  <r>
    <s v="Baby Early Education Shape And Color Cognitive Training Toys"/>
    <n v="525"/>
    <x v="1"/>
    <n v="1029"/>
    <n v="504"/>
    <x v="2"/>
    <n v="0.49"/>
    <x v="2"/>
    <x v="2"/>
    <m/>
  </r>
  <r>
    <s v="Wrought Iron Bathroom Shelf Wall Mounted Free Punch Toilet Rack"/>
    <n v="509"/>
    <x v="1"/>
    <n v="899"/>
    <n v="390"/>
    <x v="2"/>
    <n v="0.43"/>
    <x v="0"/>
    <x v="0"/>
    <n v="3"/>
  </r>
  <r>
    <s v="LASA Digital Thermometer And Hydrometer"/>
    <n v="501"/>
    <x v="1"/>
    <n v="860"/>
    <n v="359"/>
    <x v="2"/>
    <n v="0.42"/>
    <x v="7"/>
    <x v="1"/>
    <n v="4.5"/>
  </r>
  <r>
    <s v="Simple Metal Dog Art Sculpture Decoration For Home Office"/>
    <n v="499"/>
    <x v="2"/>
    <n v="900"/>
    <n v="401"/>
    <x v="2"/>
    <n v="0.45"/>
    <x v="2"/>
    <x v="2"/>
    <m/>
  </r>
  <r>
    <s v="4M Float Switch Water Level Controller -Water Tank"/>
    <n v="475"/>
    <x v="2"/>
    <n v="931"/>
    <n v="456"/>
    <x v="2"/>
    <n v="0.49"/>
    <x v="2"/>
    <x v="2"/>
    <m/>
  </r>
  <r>
    <s v="Mythco 120COB Solar Wall Ligt With Motion Sensor And Remote Control 3 Modes"/>
    <n v="458"/>
    <x v="2"/>
    <n v="986"/>
    <n v="528"/>
    <x v="2"/>
    <n v="0.54"/>
    <x v="19"/>
    <x v="0"/>
    <n v="3"/>
  </r>
  <r>
    <s v="Wall-mounted Sticker Punch-free Plug Fixer"/>
    <n v="450"/>
    <x v="2"/>
    <n v="900"/>
    <n v="450"/>
    <x v="2"/>
    <n v="0.5"/>
    <x v="1"/>
    <x v="2"/>
    <n v="2"/>
  </r>
  <r>
    <s v="120W Cordless Vacuum Cleaners Handheld Electric Vacuum Cleaner"/>
    <n v="445"/>
    <x v="2"/>
    <n v="873"/>
    <n v="428"/>
    <x v="2"/>
    <n v="0.49"/>
    <x v="20"/>
    <x v="2"/>
    <n v="2.8"/>
  </r>
  <r>
    <s v="Electronic Digital Display Vernier Caliper"/>
    <n v="420"/>
    <x v="2"/>
    <n v="647"/>
    <n v="227"/>
    <x v="0"/>
    <n v="0.35"/>
    <x v="21"/>
    <x v="1"/>
    <n v="4.5999999999999996"/>
  </r>
  <r>
    <s v="Simple Metal Dog Art Sculpture Decoration For Home Office"/>
    <n v="399"/>
    <x v="2"/>
    <n v="896"/>
    <n v="497"/>
    <x v="2"/>
    <n v="0.55000000000000004"/>
    <x v="2"/>
    <x v="2"/>
    <m/>
  </r>
  <r>
    <s v="Punch-free Great Load Bearing Bathroom Storage Rack Wall Shelf-White"/>
    <n v="389"/>
    <x v="2"/>
    <n v="656"/>
    <n v="267"/>
    <x v="2"/>
    <n v="0.41"/>
    <x v="22"/>
    <x v="1"/>
    <n v="4.3"/>
  </r>
  <r>
    <s v="Agapeon Toothbrush Holder And Toothpaste Dispenser"/>
    <n v="382"/>
    <x v="2"/>
    <n v="700"/>
    <n v="318"/>
    <x v="2"/>
    <n v="0.45"/>
    <x v="23"/>
    <x v="2"/>
    <n v="2.6"/>
  </r>
  <r>
    <s v="Watercolour Gold Foil Textured Print Pillow Cover"/>
    <n v="345"/>
    <x v="2"/>
    <n v="602"/>
    <n v="257"/>
    <x v="2"/>
    <n v="0.43"/>
    <x v="7"/>
    <x v="2"/>
    <n v="2.2999999999999998"/>
  </r>
  <r>
    <s v="Anti-Skid Absorbent Insulation Coaster  For Home Office"/>
    <n v="332"/>
    <x v="2"/>
    <n v="684"/>
    <n v="352"/>
    <x v="2"/>
    <n v="0.51"/>
    <x v="14"/>
    <x v="1"/>
    <n v="5"/>
  </r>
  <r>
    <s v="Household Pineapple Peeler Peeler"/>
    <n v="330"/>
    <x v="2"/>
    <n v="647"/>
    <n v="317"/>
    <x v="2"/>
    <n v="0.49"/>
    <x v="1"/>
    <x v="1"/>
    <n v="4"/>
  </r>
  <r>
    <s v="Intelligent  LED Body Sensor Wireless Lighting Night Light USB"/>
    <n v="325"/>
    <x v="2"/>
    <n v="680"/>
    <n v="355"/>
    <x v="2"/>
    <n v="0.52"/>
    <x v="3"/>
    <x v="2"/>
    <n v="2.7"/>
  </r>
  <r>
    <s v="Brush &amp; Paintbrush Cleaning Tool Pink"/>
    <n v="299"/>
    <x v="2"/>
    <n v="600"/>
    <n v="301"/>
    <x v="2"/>
    <n v="0.5"/>
    <x v="2"/>
    <x v="2"/>
    <m/>
  </r>
  <r>
    <s v="Pilates Cloth Bag Waterproof Durable High Capacity Purple"/>
    <n v="299"/>
    <x v="2"/>
    <n v="384"/>
    <n v="85"/>
    <x v="0"/>
    <n v="0.22"/>
    <x v="2"/>
    <x v="2"/>
    <m/>
  </r>
  <r>
    <s v="Cartoon Car Decoration Cute Individuality For Car Home Desk"/>
    <n v="274"/>
    <x v="2"/>
    <n v="537"/>
    <n v="263"/>
    <x v="2"/>
    <n v="0.49"/>
    <x v="2"/>
    <x v="2"/>
    <m/>
  </r>
  <r>
    <s v="4 Piece Coloured Stainless Steel Kitchenware Set"/>
    <n v="248"/>
    <x v="2"/>
    <n v="486"/>
    <n v="238"/>
    <x v="2"/>
    <n v="0.49"/>
    <x v="2"/>
    <x v="2"/>
    <m/>
  </r>
  <r>
    <s v="Modern Sofa Throw Pillow Cover-45x45cm-Blue&amp;Red"/>
    <n v="238"/>
    <x v="2"/>
    <n v="476"/>
    <n v="238"/>
    <x v="2"/>
    <n v="0.5"/>
    <x v="2"/>
    <x v="2"/>
    <m/>
  </r>
  <r>
    <s v="7PCS Silicone Thumb Knife Finger Protector Vegetable Harvesting Knife"/>
    <n v="230"/>
    <x v="2"/>
    <n v="450"/>
    <n v="220"/>
    <x v="2"/>
    <n v="0.49"/>
    <x v="2"/>
    <x v="2"/>
    <m/>
  </r>
  <r>
    <s v="Creative Owl Shape Keychain Black"/>
    <n v="199"/>
    <x v="2"/>
    <n v="504"/>
    <n v="305"/>
    <x v="2"/>
    <n v="0.61"/>
    <x v="2"/>
    <x v="2"/>
    <m/>
  </r>
  <r>
    <s v="6 In 1 Bottle Can Opener Multifunctional Easy Opener"/>
    <n v="199"/>
    <x v="2"/>
    <n v="553"/>
    <n v="354"/>
    <x v="2"/>
    <n v="0.64"/>
    <x v="2"/>
    <x v="2"/>
    <m/>
  </r>
  <r>
    <s v="1PC Refrigerator Food Seal Pocket Fridge Bags"/>
    <n v="198"/>
    <x v="2"/>
    <n v="260"/>
    <n v="62"/>
    <x v="0"/>
    <n v="0.24"/>
    <x v="2"/>
    <x v="2"/>
    <m/>
  </r>
  <r>
    <s v="Peacock  Throw Pillow Cushion Case For Home Car"/>
    <n v="195"/>
    <x v="2"/>
    <n v="360"/>
    <n v="165"/>
    <x v="2"/>
    <n v="0.46"/>
    <x v="14"/>
    <x v="1"/>
    <n v="5"/>
  </r>
  <r>
    <s v="Exfoliate And Exfoliate Face Towel - Black"/>
    <n v="185"/>
    <x v="2"/>
    <n v="382"/>
    <n v="197"/>
    <x v="2"/>
    <n v="0.52"/>
    <x v="13"/>
    <x v="1"/>
    <n v="4.3"/>
  </r>
  <r>
    <s v="Creative Owl Shape Keychain Black"/>
    <n v="176"/>
    <x v="2"/>
    <n v="345"/>
    <n v="169"/>
    <x v="2"/>
    <n v="0.49"/>
    <x v="2"/>
    <x v="2"/>
    <m/>
  </r>
  <r>
    <s v="Classic Black Cat Cotton Hemp Pillow Case For Home Car"/>
    <n v="171"/>
    <x v="2"/>
    <n v="360"/>
    <n v="189"/>
    <x v="2"/>
    <n v="0.53"/>
    <x v="14"/>
    <x v="1"/>
    <n v="5"/>
  </r>
  <r>
    <s v="Black Simple Water Cup Wine Coaster Anti Slip Absorbent"/>
    <n v="169"/>
    <x v="2"/>
    <n v="320"/>
    <n v="151"/>
    <x v="2"/>
    <n v="0.47"/>
    <x v="2"/>
    <x v="2"/>
    <m/>
  </r>
  <r>
    <s v="Sewing Machine Needle Threader Stitch Insertion Tool Automatic Quick Sewing"/>
    <n v="105"/>
    <x v="2"/>
    <n v="200"/>
    <n v="95"/>
    <x v="2"/>
    <n v="0.48"/>
    <x v="2"/>
    <x v="2"/>
    <m/>
  </r>
  <r>
    <s v="3PCS Single Head Knitting Crochet Sweater Needle Set"/>
    <n v="38"/>
    <x v="2"/>
    <n v="80"/>
    <n v="42"/>
    <x v="2"/>
    <n v="0.53"/>
    <x v="8"/>
    <x v="0"/>
    <n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E561F-6D67-4E5B-9E41-C765072F83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6:E20" firstHeaderRow="1" firstDataRow="1" firstDataCol="1"/>
  <pivotFields count="10">
    <pivotField showAll="0"/>
    <pivotField numFmtId="1" showAll="0"/>
    <pivotField showAll="0"/>
    <pivotField numFmtId="1" showAll="0"/>
    <pivotField numFmtId="1" showAll="0"/>
    <pivotField showAll="0">
      <items count="4">
        <item x="2"/>
        <item x="1"/>
        <item x="0"/>
        <item t="default"/>
      </items>
    </pivotField>
    <pivotField numFmtId="9"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axis="axisRow" showAll="0">
      <items count="4">
        <item x="0"/>
        <item x="1"/>
        <item x="2"/>
        <item t="default"/>
      </items>
    </pivotField>
    <pivotField showAll="0"/>
  </pivotFields>
  <rowFields count="1">
    <field x="8"/>
  </rowFields>
  <rowItems count="4">
    <i>
      <x/>
    </i>
    <i>
      <x v="1"/>
    </i>
    <i>
      <x v="2"/>
    </i>
    <i t="grand">
      <x/>
    </i>
  </rowItems>
  <colItems count="1">
    <i/>
  </colItems>
  <dataFields count="1">
    <dataField name="Average of Review" fld="7" subtotal="average" baseField="8" baseItem="0" numFmtId="164"/>
  </dataFields>
  <formats count="1">
    <format dxfId="118">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328CD-A43E-4321-B2A0-5E09C9EA40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0" firstHeaderRow="1" firstDataRow="1" firstDataCol="1"/>
  <pivotFields count="10">
    <pivotField showAll="0"/>
    <pivotField numFmtId="1" showAll="0"/>
    <pivotField showAll="0"/>
    <pivotField numFmtId="1" showAll="0"/>
    <pivotField numFmtId="1" showAll="0"/>
    <pivotField axis="axisRow" showAll="0">
      <items count="4">
        <item x="2"/>
        <item x="1"/>
        <item x="0"/>
        <item t="default"/>
      </items>
    </pivotField>
    <pivotField numFmtId="9"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showAll="0"/>
    <pivotField showAll="0"/>
  </pivotFields>
  <rowFields count="1">
    <field x="5"/>
  </rowFields>
  <rowItems count="4">
    <i>
      <x/>
    </i>
    <i>
      <x v="1"/>
    </i>
    <i>
      <x v="2"/>
    </i>
    <i t="grand">
      <x/>
    </i>
  </rowItems>
  <colItems count="1">
    <i/>
  </colItems>
  <dataFields count="1">
    <dataField name="Average of Review" fld="7" subtotal="average" baseField="5" baseItem="0" numFmtId="164"/>
  </dataFields>
  <formats count="1">
    <format dxfId="119">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BA38D-EA7E-42D0-8464-3F6B20CF46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H12" firstHeaderRow="1" firstDataRow="1" firstDataCol="1"/>
  <pivotFields count="10">
    <pivotField dataField="1" showAll="0"/>
    <pivotField numFmtId="1" showAll="0"/>
    <pivotField showAll="0"/>
    <pivotField numFmtId="1" showAll="0"/>
    <pivotField numFmtId="1" showAll="0"/>
    <pivotField showAll="0"/>
    <pivotField numFmtId="9" showAll="0"/>
    <pivotField showAll="0">
      <items count="25">
        <item x="1"/>
        <item x="14"/>
        <item x="10"/>
        <item x="0"/>
        <item x="7"/>
        <item x="9"/>
        <item x="13"/>
        <item x="19"/>
        <item x="4"/>
        <item x="8"/>
        <item x="15"/>
        <item x="3"/>
        <item x="16"/>
        <item x="23"/>
        <item x="12"/>
        <item x="6"/>
        <item x="11"/>
        <item x="22"/>
        <item x="18"/>
        <item x="17"/>
        <item x="21"/>
        <item x="5"/>
        <item x="20"/>
        <item x="2"/>
        <item t="default"/>
      </items>
    </pivotField>
    <pivotField axis="axisRow" showAll="0">
      <items count="4">
        <item x="0"/>
        <item x="1"/>
        <item x="2"/>
        <item t="default"/>
      </items>
    </pivotField>
    <pivotField showAll="0"/>
  </pivotFields>
  <rowFields count="1">
    <field x="8"/>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FCD77-0603-4F3B-886C-3ED993006B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2" firstHeaderRow="1" firstDataRow="1" firstDataCol="1"/>
  <pivotFields count="10">
    <pivotField dataField="1" showAll="0"/>
    <pivotField numFmtId="1" showAll="0"/>
    <pivotField axis="axisRow" showAll="0">
      <items count="4">
        <item x="0"/>
        <item x="2"/>
        <item x="1"/>
        <item t="default"/>
      </items>
    </pivotField>
    <pivotField numFmtId="1" showAll="0"/>
    <pivotField numFmtId="1" showAll="0"/>
    <pivotField showAll="0"/>
    <pivotField numFmtId="9" showAll="0"/>
    <pivotField showAll="0">
      <items count="25">
        <item x="1"/>
        <item x="14"/>
        <item x="10"/>
        <item x="0"/>
        <item x="7"/>
        <item x="9"/>
        <item x="13"/>
        <item x="19"/>
        <item x="4"/>
        <item x="8"/>
        <item x="15"/>
        <item x="3"/>
        <item x="16"/>
        <item x="23"/>
        <item x="12"/>
        <item x="6"/>
        <item x="11"/>
        <item x="22"/>
        <item x="18"/>
        <item x="17"/>
        <item x="21"/>
        <item x="5"/>
        <item x="20"/>
        <item x="2"/>
        <item t="default"/>
      </items>
    </pivotField>
    <pivotField showAll="0"/>
    <pivotField showAll="0"/>
  </pivotFields>
  <rowFields count="1">
    <field x="2"/>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F4AF5-A9CD-4802-84D0-DC51FE1833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pivotFields count="10">
    <pivotField dataField="1" showAll="0"/>
    <pivotField numFmtId="1" showAll="0"/>
    <pivotField showAll="0"/>
    <pivotField numFmtId="1" showAll="0"/>
    <pivotField numFmtId="1" showAll="0"/>
    <pivotField axis="axisRow" showAll="0">
      <items count="4">
        <item x="2"/>
        <item x="1"/>
        <item x="0"/>
        <item t="default"/>
      </items>
    </pivotField>
    <pivotField numFmtId="9" showAll="0"/>
    <pivotField showAll="0">
      <items count="25">
        <item x="1"/>
        <item x="14"/>
        <item x="10"/>
        <item x="0"/>
        <item x="7"/>
        <item x="9"/>
        <item x="13"/>
        <item x="19"/>
        <item x="4"/>
        <item x="8"/>
        <item x="15"/>
        <item x="3"/>
        <item x="16"/>
        <item x="23"/>
        <item x="12"/>
        <item x="6"/>
        <item x="11"/>
        <item x="22"/>
        <item x="18"/>
        <item x="17"/>
        <item x="21"/>
        <item x="5"/>
        <item x="20"/>
        <item x="2"/>
        <item t="default"/>
      </items>
    </pivotField>
    <pivotField showAll="0"/>
    <pivotField showAll="0"/>
  </pivotFields>
  <rowFields count="1">
    <field x="5"/>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58114D-97AF-439D-8A1E-E7B5494690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showAll="0"/>
    <pivotField dataField="1" numFmtId="1" showAll="0"/>
    <pivotField showAll="0"/>
    <pivotField numFmtId="1" showAll="0"/>
    <pivotField numFmtId="1" showAll="0"/>
    <pivotField showAll="0">
      <items count="4">
        <item x="2"/>
        <item x="1"/>
        <item x="0"/>
        <item t="default"/>
      </items>
    </pivotField>
    <pivotField dataField="1" numFmtId="9"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showAll="0"/>
    <pivotField dataField="1" showAll="0"/>
  </pivotFields>
  <rowItems count="1">
    <i/>
  </rowItems>
  <colFields count="1">
    <field x="-2"/>
  </colFields>
  <colItems count="4">
    <i>
      <x/>
    </i>
    <i i="1">
      <x v="1"/>
    </i>
    <i i="2">
      <x v="2"/>
    </i>
    <i i="3">
      <x v="3"/>
    </i>
  </colItems>
  <dataFields count="4">
    <dataField name="Average of Current price" fld="1" subtotal="average" baseField="0" baseItem="1" numFmtId="1"/>
    <dataField name="Average of Discount" fld="6" subtotal="average" baseField="0" baseItem="1" numFmtId="9"/>
    <dataField name="Average of Rating" fld="9" subtotal="average" baseField="0" baseItem="2" numFmtId="164"/>
    <dataField name="Sum of Review" fld="7" baseField="0" baseItem="0"/>
  </dataFields>
  <formats count="1">
    <format dxfId="12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E2AAB-BF2A-4467-9857-886B31032B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6:H20" firstHeaderRow="1" firstDataRow="1" firstDataCol="1"/>
  <pivotFields count="10">
    <pivotField showAll="0"/>
    <pivotField numFmtId="1" showAll="0"/>
    <pivotField axis="axisRow" showAll="0">
      <items count="4">
        <item x="0"/>
        <item x="2"/>
        <item x="1"/>
        <item t="default"/>
      </items>
    </pivotField>
    <pivotField numFmtId="1" showAll="0"/>
    <pivotField numFmtId="1" showAll="0"/>
    <pivotField showAll="0">
      <items count="4">
        <item x="2"/>
        <item x="1"/>
        <item x="0"/>
        <item t="default"/>
      </items>
    </pivotField>
    <pivotField numFmtId="9" showAll="0"/>
    <pivotField showAll="0">
      <items count="25">
        <item x="1"/>
        <item x="14"/>
        <item x="10"/>
        <item x="0"/>
        <item x="7"/>
        <item x="9"/>
        <item x="13"/>
        <item x="19"/>
        <item x="4"/>
        <item x="8"/>
        <item x="15"/>
        <item x="3"/>
        <item x="16"/>
        <item x="23"/>
        <item x="12"/>
        <item x="6"/>
        <item x="11"/>
        <item x="22"/>
        <item x="18"/>
        <item x="17"/>
        <item x="21"/>
        <item x="5"/>
        <item x="20"/>
        <item x="2"/>
        <item t="default"/>
      </items>
    </pivotField>
    <pivotField showAll="0"/>
    <pivotField dataField="1" showAll="0"/>
  </pivotFields>
  <rowFields count="1">
    <field x="2"/>
  </rowFields>
  <rowItems count="4">
    <i>
      <x/>
    </i>
    <i>
      <x v="1"/>
    </i>
    <i>
      <x v="2"/>
    </i>
    <i t="grand">
      <x/>
    </i>
  </rowItems>
  <colItems count="1">
    <i/>
  </colItems>
  <dataFields count="1">
    <dataField name="Average of Rating" fld="9" subtotal="average" baseField="2" baseItem="0" numFmtId="164"/>
  </dataFields>
  <formats count="1">
    <format dxfId="121">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9B4B2482-F146-4322-A390-D8E96116A940}" sourceName="Review">
  <pivotTables>
    <pivotTable tabId="6" name="PivotTable6"/>
    <pivotTable tabId="6" name="PivotTable1"/>
    <pivotTable tabId="6" name="PivotTable2"/>
    <pivotTable tabId="6" name="PivotTable3"/>
    <pivotTable tabId="6" name="PivotTable5"/>
    <pivotTable tabId="6" name="PivotTable7"/>
    <pivotTable tabId="6" name="PivotTable8"/>
  </pivotTables>
  <data>
    <tabular pivotCacheId="2042473141">
      <items count="24">
        <i x="1" s="1"/>
        <i x="14" s="1"/>
        <i x="10" s="1"/>
        <i x="0" s="1"/>
        <i x="7" s="1"/>
        <i x="9" s="1"/>
        <i x="13" s="1"/>
        <i x="19" s="1"/>
        <i x="4" s="1"/>
        <i x="8" s="1"/>
        <i x="15" s="1"/>
        <i x="3" s="1"/>
        <i x="16" s="1"/>
        <i x="23" s="1"/>
        <i x="12" s="1"/>
        <i x="6" s="1"/>
        <i x="11" s="1"/>
        <i x="22" s="1"/>
        <i x="18" s="1"/>
        <i x="17" s="1"/>
        <i x="21" s="1"/>
        <i x="5" s="1"/>
        <i x="2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8C2833B1-EAB3-44DF-AD2C-91996BFEEBCA}" sourceName="price category">
  <extLst>
    <x:ext xmlns:x15="http://schemas.microsoft.com/office/spreadsheetml/2010/11/main" uri="{2F2917AC-EB37-4324-AD4E-5DD8C200BD13}">
      <x15:tableSlicerCache tableId="1" column="1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9658E964-39B6-4969-855C-C1D5DCC48AC3}" sourceName="Discount category">
  <extLst>
    <x:ext xmlns:x15="http://schemas.microsoft.com/office/spreadsheetml/2010/11/main" uri="{2F2917AC-EB37-4324-AD4E-5DD8C200BD13}">
      <x15:tableSlicerCache tableId="1" column="1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B009E7A3-8267-46C3-87E8-2208053EF2B7}" sourceName="rating category">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283B15DD-76CF-4E35-BF23-940E0F97EF1D}" cache="Slicer_Review" caption="Review"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32064794-EFEF-4754-AB26-B8CB26530585}" cache="Slicer_price_category" caption="price category" rowHeight="247650"/>
  <slicer name="Discount category 2" xr10:uid="{D57952D9-45BD-40EC-8808-F753E8AE618A}" cache="Slicer_Discount_category1" caption="Discount category" rowHeight="247650"/>
  <slicer name="rating category 1" xr10:uid="{6F9F7F5B-EC53-401A-AE82-370F02EEF8BE}" cache="Slicer_rating_category" caption="rating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0CC9B-C413-4423-B9EE-4A68A071D0AC}" name="Table1" displayName="Table1" ref="A1:J116" totalsRowShown="0">
  <autoFilter ref="A1:J116" xr:uid="{D410CC9B-C413-4423-B9EE-4A68A071D0AC}"/>
  <sortState xmlns:xlrd2="http://schemas.microsoft.com/office/spreadsheetml/2017/richdata2" ref="A2:J116">
    <sortCondition descending="1" ref="B1:B116"/>
  </sortState>
  <tableColumns count="10">
    <tableColumn id="1" xr3:uid="{64D49F64-F3CC-4C8F-9CC1-134A730DD77F}" name="Product"/>
    <tableColumn id="2" xr3:uid="{5585863B-E05A-48EE-B394-84E8C68721A5}" name="Current price" dataDxfId="117" totalsRowDxfId="116"/>
    <tableColumn id="14" xr3:uid="{3EFB1810-7600-403A-A8DC-E7AB918760C1}" name="price category" dataDxfId="115" totalsRowDxfId="114">
      <calculatedColumnFormula>IF(B2&lt;500,"Low Price",IF(B2&lt;=2000,"Medium Price","High Price"))</calculatedColumnFormula>
    </tableColumn>
    <tableColumn id="3" xr3:uid="{33BECA7C-8F09-43DF-9BF9-6AF89DF8997E}" name="old price" dataDxfId="113" totalsRowDxfId="112"/>
    <tableColumn id="11" xr3:uid="{F75389CA-6B7B-4CC3-B607-39B317972475}" name="Discount Amount" dataDxfId="111" totalsRowDxfId="110">
      <calculatedColumnFormula>D2-B2</calculatedColumnFormula>
    </tableColumn>
    <tableColumn id="13" xr3:uid="{49A2F3A8-860F-4D0D-8C0F-153FC1E80AE3}" name="Discount category" dataDxfId="109">
      <calculatedColumnFormula>IF(G2&lt;20%,"Low Discount",IF(G2&lt;=40%,"Medium Discount","High Discount"))</calculatedColumnFormula>
    </tableColumn>
    <tableColumn id="4" xr3:uid="{46E7C809-9EE1-4EDF-9934-0D7213970DEF}" name="Discount" dataDxfId="108" totalsRowDxfId="107"/>
    <tableColumn id="5" xr3:uid="{43CA489C-8E4F-4C15-806B-28BB525D8B4E}" name="Review"/>
    <tableColumn id="12" xr3:uid="{ED0CF386-4347-4388-B475-7217AA20171F}" name="rating category" dataDxfId="106">
      <calculatedColumnFormula>IF(J2&lt;3,"Poor",IF(J2&lt;4,"Average","Excellent"))</calculatedColumnFormula>
    </tableColumn>
    <tableColumn id="6" xr3:uid="{76D418D1-7BA4-43A4-8FF0-57BB0103433C}" name="Rating" dataDxfId="105" totalsRowDxfId="10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DBB2-E7B3-4C2E-96FD-1C77DFDFFCA7}">
  <dimension ref="A1:F116"/>
  <sheetViews>
    <sheetView topLeftCell="A9" workbookViewId="0">
      <selection activeCell="B41" sqref="B41"/>
    </sheetView>
  </sheetViews>
  <sheetFormatPr defaultRowHeight="14.4" x14ac:dyDescent="0.3"/>
  <cols>
    <col min="1" max="1" width="85.33203125" bestFit="1" customWidth="1"/>
    <col min="2" max="2" width="18.33203125" style="2" bestFit="1" customWidth="1"/>
    <col min="3" max="3" width="18.33203125" bestFit="1" customWidth="1"/>
  </cols>
  <sheetData>
    <row r="1" spans="1:6" x14ac:dyDescent="0.3">
      <c r="A1" t="s">
        <v>0</v>
      </c>
      <c r="B1" s="2" t="s">
        <v>1</v>
      </c>
      <c r="C1" t="s">
        <v>2</v>
      </c>
      <c r="D1" t="s">
        <v>3</v>
      </c>
      <c r="E1" t="s">
        <v>4</v>
      </c>
      <c r="F1" t="s">
        <v>5</v>
      </c>
    </row>
    <row r="2" spans="1:6" x14ac:dyDescent="0.3">
      <c r="A2" t="s">
        <v>6</v>
      </c>
      <c r="B2" s="2">
        <v>950</v>
      </c>
      <c r="C2" t="s">
        <v>7</v>
      </c>
      <c r="D2" s="1">
        <v>0.38</v>
      </c>
      <c r="E2">
        <v>-2</v>
      </c>
      <c r="F2" t="s">
        <v>8</v>
      </c>
    </row>
    <row r="3" spans="1:6" x14ac:dyDescent="0.3">
      <c r="A3" t="s">
        <v>9</v>
      </c>
      <c r="B3" s="2">
        <v>527</v>
      </c>
      <c r="C3" t="s">
        <v>10</v>
      </c>
      <c r="D3" s="1">
        <v>0.47</v>
      </c>
      <c r="E3">
        <v>-14</v>
      </c>
      <c r="F3" t="s">
        <v>11</v>
      </c>
    </row>
    <row r="4" spans="1:6" x14ac:dyDescent="0.3">
      <c r="A4" t="s">
        <v>12</v>
      </c>
      <c r="B4" s="2">
        <v>2199</v>
      </c>
      <c r="C4" t="s">
        <v>14</v>
      </c>
      <c r="D4" s="1">
        <v>0.25</v>
      </c>
      <c r="E4">
        <v>-24</v>
      </c>
      <c r="F4" t="s">
        <v>15</v>
      </c>
    </row>
    <row r="5" spans="1:6" x14ac:dyDescent="0.3">
      <c r="A5" t="s">
        <v>16</v>
      </c>
      <c r="B5" s="2">
        <v>1580</v>
      </c>
      <c r="C5" t="s">
        <v>18</v>
      </c>
      <c r="D5" s="1">
        <v>0.37</v>
      </c>
      <c r="E5">
        <v>-7</v>
      </c>
      <c r="F5" t="s">
        <v>19</v>
      </c>
    </row>
    <row r="6" spans="1:6" x14ac:dyDescent="0.3">
      <c r="A6" t="s">
        <v>20</v>
      </c>
      <c r="B6" s="2">
        <v>1740</v>
      </c>
      <c r="C6" t="s">
        <v>21</v>
      </c>
      <c r="D6" s="1">
        <v>0.26</v>
      </c>
      <c r="E6">
        <v>-5</v>
      </c>
      <c r="F6" t="s">
        <v>22</v>
      </c>
    </row>
    <row r="7" spans="1:6" x14ac:dyDescent="0.3">
      <c r="A7" t="s">
        <v>23</v>
      </c>
      <c r="B7" s="2">
        <v>2999</v>
      </c>
      <c r="C7" t="s">
        <v>24</v>
      </c>
      <c r="D7" s="1">
        <v>0.09</v>
      </c>
      <c r="E7">
        <v>-15</v>
      </c>
      <c r="F7" t="s">
        <v>25</v>
      </c>
    </row>
    <row r="8" spans="1:6" x14ac:dyDescent="0.3">
      <c r="A8" t="s">
        <v>26</v>
      </c>
      <c r="B8" s="2">
        <v>2319</v>
      </c>
      <c r="C8" t="s">
        <v>27</v>
      </c>
      <c r="D8" s="1">
        <v>0.24</v>
      </c>
      <c r="E8">
        <v>-55</v>
      </c>
      <c r="F8" t="s">
        <v>15</v>
      </c>
    </row>
    <row r="9" spans="1:6" x14ac:dyDescent="0.3">
      <c r="A9" t="s">
        <v>28</v>
      </c>
      <c r="B9" s="2">
        <v>988</v>
      </c>
      <c r="C9" t="s">
        <v>17</v>
      </c>
      <c r="D9" s="1">
        <v>0.37</v>
      </c>
      <c r="E9">
        <v>-2</v>
      </c>
      <c r="F9" t="s">
        <v>25</v>
      </c>
    </row>
    <row r="10" spans="1:6" x14ac:dyDescent="0.3">
      <c r="A10" t="s">
        <v>29</v>
      </c>
      <c r="B10" s="2">
        <v>1274</v>
      </c>
      <c r="C10" t="s">
        <v>30</v>
      </c>
      <c r="D10" s="1">
        <v>0.55000000000000004</v>
      </c>
      <c r="E10">
        <v>-5</v>
      </c>
      <c r="F10" t="s">
        <v>22</v>
      </c>
    </row>
    <row r="11" spans="1:6" x14ac:dyDescent="0.3">
      <c r="A11" t="s">
        <v>31</v>
      </c>
      <c r="B11" s="2">
        <v>1600</v>
      </c>
      <c r="C11" t="s">
        <v>32</v>
      </c>
      <c r="D11" s="1">
        <v>0.45</v>
      </c>
      <c r="E11">
        <v>-5</v>
      </c>
      <c r="F11" t="s">
        <v>33</v>
      </c>
    </row>
    <row r="12" spans="1:6" x14ac:dyDescent="0.3">
      <c r="A12" t="s">
        <v>34</v>
      </c>
      <c r="B12" s="2">
        <v>799</v>
      </c>
      <c r="C12" t="s">
        <v>10</v>
      </c>
      <c r="D12" s="1">
        <v>0.2</v>
      </c>
      <c r="E12">
        <v>-12</v>
      </c>
      <c r="F12" t="s">
        <v>11</v>
      </c>
    </row>
    <row r="13" spans="1:6" x14ac:dyDescent="0.3">
      <c r="A13" t="s">
        <v>35</v>
      </c>
      <c r="B13" s="2">
        <v>990</v>
      </c>
      <c r="C13" t="s">
        <v>36</v>
      </c>
      <c r="D13" s="1">
        <v>0.34</v>
      </c>
      <c r="E13">
        <v>-39</v>
      </c>
      <c r="F13" t="s">
        <v>19</v>
      </c>
    </row>
    <row r="14" spans="1:6" x14ac:dyDescent="0.3">
      <c r="A14" t="s">
        <v>37</v>
      </c>
      <c r="B14" s="2">
        <v>552</v>
      </c>
      <c r="C14" t="s">
        <v>38</v>
      </c>
      <c r="D14" s="1">
        <v>0.47</v>
      </c>
      <c r="E14">
        <v>-12</v>
      </c>
      <c r="F14" t="s">
        <v>22</v>
      </c>
    </row>
    <row r="15" spans="1:6" x14ac:dyDescent="0.3">
      <c r="A15" t="s">
        <v>39</v>
      </c>
      <c r="B15" s="2">
        <v>501</v>
      </c>
      <c r="C15" t="s">
        <v>40</v>
      </c>
      <c r="D15" s="1">
        <v>0.42</v>
      </c>
      <c r="E15">
        <v>-6</v>
      </c>
      <c r="F15" t="s">
        <v>8</v>
      </c>
    </row>
    <row r="16" spans="1:6" x14ac:dyDescent="0.3">
      <c r="A16" t="s">
        <v>41</v>
      </c>
      <c r="B16" s="2">
        <v>1680</v>
      </c>
      <c r="C16" t="s">
        <v>18</v>
      </c>
      <c r="D16" s="1">
        <v>0.33</v>
      </c>
      <c r="E16">
        <v>-9</v>
      </c>
      <c r="F16" t="s">
        <v>42</v>
      </c>
    </row>
    <row r="17" spans="1:6" x14ac:dyDescent="0.3">
      <c r="A17" t="s">
        <v>43</v>
      </c>
      <c r="B17" s="2">
        <v>332</v>
      </c>
      <c r="C17" t="s">
        <v>44</v>
      </c>
      <c r="D17" s="1">
        <v>0.51</v>
      </c>
      <c r="E17">
        <v>-2</v>
      </c>
      <c r="F17" t="s">
        <v>45</v>
      </c>
    </row>
    <row r="18" spans="1:6" x14ac:dyDescent="0.3">
      <c r="A18" t="s">
        <v>46</v>
      </c>
      <c r="B18" s="2">
        <v>195</v>
      </c>
      <c r="C18" t="s">
        <v>47</v>
      </c>
      <c r="D18" s="1">
        <v>0.46</v>
      </c>
      <c r="E18">
        <v>-2</v>
      </c>
      <c r="F18" t="s">
        <v>45</v>
      </c>
    </row>
    <row r="19" spans="1:6" x14ac:dyDescent="0.3">
      <c r="A19" t="s">
        <v>48</v>
      </c>
      <c r="B19" s="2">
        <v>2025</v>
      </c>
      <c r="C19" t="s">
        <v>49</v>
      </c>
      <c r="D19" s="1">
        <v>0.49</v>
      </c>
      <c r="E19">
        <v>-3</v>
      </c>
      <c r="F19" t="s">
        <v>45</v>
      </c>
    </row>
    <row r="20" spans="1:6" x14ac:dyDescent="0.3">
      <c r="A20" t="s">
        <v>50</v>
      </c>
      <c r="B20" s="2">
        <v>2999</v>
      </c>
      <c r="C20" t="s">
        <v>51</v>
      </c>
      <c r="D20" s="1">
        <v>0.19</v>
      </c>
      <c r="E20">
        <v>-5</v>
      </c>
      <c r="F20" t="s">
        <v>15</v>
      </c>
    </row>
    <row r="21" spans="1:6" x14ac:dyDescent="0.3">
      <c r="A21" t="s">
        <v>52</v>
      </c>
      <c r="B21" s="2">
        <v>998</v>
      </c>
      <c r="C21" t="s">
        <v>53</v>
      </c>
      <c r="D21" s="1">
        <v>0.49</v>
      </c>
      <c r="E21">
        <v>-44</v>
      </c>
      <c r="F21" t="s">
        <v>15</v>
      </c>
    </row>
    <row r="22" spans="1:6" x14ac:dyDescent="0.3">
      <c r="A22" t="s">
        <v>54</v>
      </c>
      <c r="B22" s="2">
        <v>38</v>
      </c>
      <c r="C22" t="s">
        <v>55</v>
      </c>
      <c r="D22" s="1">
        <v>0.53</v>
      </c>
      <c r="E22">
        <v>-13</v>
      </c>
      <c r="F22" t="s">
        <v>56</v>
      </c>
    </row>
    <row r="23" spans="1:6" x14ac:dyDescent="0.3">
      <c r="A23" t="s">
        <v>57</v>
      </c>
      <c r="B23" s="2">
        <v>1860</v>
      </c>
      <c r="C23" t="s">
        <v>58</v>
      </c>
      <c r="D23" s="1">
        <v>0.42</v>
      </c>
    </row>
    <row r="24" spans="1:6" x14ac:dyDescent="0.3">
      <c r="A24" t="s">
        <v>59</v>
      </c>
      <c r="B24" s="2">
        <v>880</v>
      </c>
      <c r="C24" t="s">
        <v>60</v>
      </c>
      <c r="D24" s="1">
        <v>0.35</v>
      </c>
      <c r="E24">
        <v>-6</v>
      </c>
      <c r="F24" t="s">
        <v>25</v>
      </c>
    </row>
    <row r="25" spans="1:6" x14ac:dyDescent="0.3">
      <c r="A25" t="s">
        <v>61</v>
      </c>
      <c r="B25" s="2">
        <v>1650</v>
      </c>
      <c r="C25" t="s">
        <v>62</v>
      </c>
      <c r="D25" s="1">
        <v>0.23</v>
      </c>
      <c r="E25">
        <v>-14</v>
      </c>
      <c r="F25" t="s">
        <v>63</v>
      </c>
    </row>
    <row r="26" spans="1:6" x14ac:dyDescent="0.3">
      <c r="A26" t="s">
        <v>64</v>
      </c>
      <c r="B26" s="2">
        <v>2048</v>
      </c>
      <c r="C26" t="s">
        <v>65</v>
      </c>
      <c r="D26" s="1">
        <v>0.54</v>
      </c>
      <c r="E26">
        <v>-7</v>
      </c>
      <c r="F26" t="s">
        <v>66</v>
      </c>
    </row>
    <row r="27" spans="1:6" x14ac:dyDescent="0.3">
      <c r="A27" t="s">
        <v>67</v>
      </c>
      <c r="B27" s="2">
        <v>420</v>
      </c>
      <c r="C27" t="s">
        <v>68</v>
      </c>
      <c r="D27" s="1">
        <v>0.35</v>
      </c>
      <c r="E27">
        <v>-49</v>
      </c>
      <c r="F27" t="s">
        <v>15</v>
      </c>
    </row>
    <row r="28" spans="1:6" x14ac:dyDescent="0.3">
      <c r="A28" t="s">
        <v>69</v>
      </c>
      <c r="B28" s="2">
        <v>2880</v>
      </c>
      <c r="C28" t="s">
        <v>70</v>
      </c>
      <c r="D28" s="1">
        <v>0.18</v>
      </c>
      <c r="E28">
        <v>-12</v>
      </c>
      <c r="F28" t="s">
        <v>33</v>
      </c>
    </row>
    <row r="29" spans="1:6" x14ac:dyDescent="0.3">
      <c r="A29" t="s">
        <v>71</v>
      </c>
      <c r="B29" s="2">
        <v>1350</v>
      </c>
      <c r="C29" t="s">
        <v>72</v>
      </c>
      <c r="D29" s="1">
        <v>0.32</v>
      </c>
      <c r="E29">
        <v>-13</v>
      </c>
      <c r="F29" t="s">
        <v>33</v>
      </c>
    </row>
    <row r="30" spans="1:6" x14ac:dyDescent="0.3">
      <c r="A30" t="s">
        <v>73</v>
      </c>
      <c r="B30" s="2">
        <v>1758</v>
      </c>
      <c r="C30" t="s">
        <v>18</v>
      </c>
      <c r="D30" s="1">
        <v>0.3</v>
      </c>
      <c r="E30">
        <v>-20</v>
      </c>
      <c r="F30" t="s">
        <v>11</v>
      </c>
    </row>
    <row r="31" spans="1:6" x14ac:dyDescent="0.3">
      <c r="A31" t="s">
        <v>74</v>
      </c>
      <c r="B31" s="2">
        <v>2200</v>
      </c>
      <c r="C31" t="s">
        <v>75</v>
      </c>
      <c r="D31" s="1">
        <v>0.46</v>
      </c>
    </row>
    <row r="32" spans="1:6" x14ac:dyDescent="0.3">
      <c r="A32" t="s">
        <v>76</v>
      </c>
      <c r="B32" s="2">
        <v>185</v>
      </c>
      <c r="C32" t="s">
        <v>77</v>
      </c>
      <c r="D32" s="1">
        <v>0.52</v>
      </c>
      <c r="E32">
        <v>-9</v>
      </c>
      <c r="F32" t="s">
        <v>66</v>
      </c>
    </row>
    <row r="33" spans="1:6" x14ac:dyDescent="0.3">
      <c r="A33" t="s">
        <v>78</v>
      </c>
      <c r="B33" s="2">
        <v>980</v>
      </c>
      <c r="C33" t="s">
        <v>79</v>
      </c>
      <c r="D33" s="1">
        <v>0.34</v>
      </c>
      <c r="E33">
        <v>-12</v>
      </c>
      <c r="F33" t="s">
        <v>19</v>
      </c>
    </row>
    <row r="34" spans="1:6" x14ac:dyDescent="0.3">
      <c r="A34" t="s">
        <v>80</v>
      </c>
      <c r="B34" s="2">
        <v>1820</v>
      </c>
      <c r="C34" t="s">
        <v>81</v>
      </c>
      <c r="D34" s="1">
        <v>0.48</v>
      </c>
      <c r="E34">
        <v>-9</v>
      </c>
      <c r="F34" t="s">
        <v>66</v>
      </c>
    </row>
    <row r="35" spans="1:6" x14ac:dyDescent="0.3">
      <c r="A35" t="s">
        <v>82</v>
      </c>
      <c r="B35" s="2">
        <v>1940</v>
      </c>
      <c r="C35" t="s">
        <v>83</v>
      </c>
      <c r="D35" s="1">
        <v>0.27</v>
      </c>
      <c r="E35">
        <v>-20</v>
      </c>
      <c r="F35" t="s">
        <v>19</v>
      </c>
    </row>
    <row r="36" spans="1:6" x14ac:dyDescent="0.3">
      <c r="A36" t="s">
        <v>84</v>
      </c>
      <c r="B36" s="2">
        <v>1980</v>
      </c>
      <c r="C36" t="s">
        <v>85</v>
      </c>
      <c r="D36" s="1">
        <v>0.27</v>
      </c>
      <c r="E36">
        <v>-32</v>
      </c>
      <c r="F36" t="s">
        <v>8</v>
      </c>
    </row>
    <row r="37" spans="1:6" x14ac:dyDescent="0.3">
      <c r="A37" t="s">
        <v>86</v>
      </c>
      <c r="B37" s="2">
        <v>1620</v>
      </c>
      <c r="C37" t="s">
        <v>87</v>
      </c>
      <c r="D37" s="1">
        <v>0.4</v>
      </c>
      <c r="E37">
        <v>-1</v>
      </c>
      <c r="F37" t="s">
        <v>45</v>
      </c>
    </row>
    <row r="38" spans="1:6" x14ac:dyDescent="0.3">
      <c r="A38" t="s">
        <v>88</v>
      </c>
      <c r="B38" s="2">
        <v>171</v>
      </c>
      <c r="C38" t="s">
        <v>47</v>
      </c>
      <c r="D38" s="1">
        <v>0.53</v>
      </c>
      <c r="E38">
        <v>-2</v>
      </c>
      <c r="F38" t="s">
        <v>45</v>
      </c>
    </row>
    <row r="39" spans="1:6" x14ac:dyDescent="0.3">
      <c r="A39" t="s">
        <v>89</v>
      </c>
      <c r="B39" s="2">
        <v>389</v>
      </c>
      <c r="C39" t="s">
        <v>90</v>
      </c>
      <c r="D39" s="1">
        <v>0.41</v>
      </c>
      <c r="E39">
        <v>-36</v>
      </c>
      <c r="F39" t="s">
        <v>66</v>
      </c>
    </row>
    <row r="40" spans="1:6" x14ac:dyDescent="0.3">
      <c r="A40" t="s">
        <v>91</v>
      </c>
      <c r="B40" s="2" t="s">
        <v>300</v>
      </c>
      <c r="C40" t="s">
        <v>92</v>
      </c>
      <c r="D40" s="1">
        <v>0.38</v>
      </c>
      <c r="E40">
        <v>-2</v>
      </c>
      <c r="F40" t="s">
        <v>8</v>
      </c>
    </row>
    <row r="41" spans="1:6" x14ac:dyDescent="0.3">
      <c r="A41" t="s">
        <v>93</v>
      </c>
      <c r="B41" s="2">
        <v>2750</v>
      </c>
      <c r="C41" t="s">
        <v>94</v>
      </c>
      <c r="D41" s="1">
        <v>0.38</v>
      </c>
    </row>
    <row r="42" spans="1:6" x14ac:dyDescent="0.3">
      <c r="A42" t="s">
        <v>95</v>
      </c>
      <c r="B42" s="2">
        <v>475</v>
      </c>
      <c r="C42" t="s">
        <v>96</v>
      </c>
      <c r="D42" s="1">
        <v>0.49</v>
      </c>
    </row>
    <row r="43" spans="1:6" x14ac:dyDescent="0.3">
      <c r="A43" t="s">
        <v>97</v>
      </c>
      <c r="B43" s="2">
        <v>238</v>
      </c>
      <c r="C43" t="s">
        <v>98</v>
      </c>
      <c r="D43" s="1">
        <v>0.5</v>
      </c>
    </row>
    <row r="44" spans="1:6" x14ac:dyDescent="0.3">
      <c r="A44" t="s">
        <v>99</v>
      </c>
      <c r="B44" s="2">
        <v>610</v>
      </c>
      <c r="C44" t="s">
        <v>100</v>
      </c>
      <c r="D44" s="1">
        <v>0.42</v>
      </c>
    </row>
    <row r="45" spans="1:6" x14ac:dyDescent="0.3">
      <c r="A45" t="s">
        <v>99</v>
      </c>
      <c r="B45" s="2">
        <v>610</v>
      </c>
      <c r="C45" t="s">
        <v>100</v>
      </c>
      <c r="D45" s="1">
        <v>0.42</v>
      </c>
    </row>
    <row r="46" spans="1:6" x14ac:dyDescent="0.3">
      <c r="A46" t="s">
        <v>101</v>
      </c>
      <c r="B46" s="2">
        <v>2132</v>
      </c>
      <c r="C46" t="s">
        <v>102</v>
      </c>
      <c r="D46" s="1">
        <v>0.02</v>
      </c>
    </row>
    <row r="47" spans="1:6" x14ac:dyDescent="0.3">
      <c r="A47" t="s">
        <v>103</v>
      </c>
      <c r="B47" s="2">
        <v>999</v>
      </c>
      <c r="C47" t="s">
        <v>104</v>
      </c>
      <c r="D47" s="1">
        <v>0.5</v>
      </c>
    </row>
    <row r="48" spans="1:6" x14ac:dyDescent="0.3">
      <c r="A48" t="s">
        <v>105</v>
      </c>
      <c r="B48" s="2">
        <v>1190</v>
      </c>
      <c r="C48" t="s">
        <v>106</v>
      </c>
      <c r="D48" s="1">
        <v>0.33</v>
      </c>
    </row>
    <row r="49" spans="1:6" x14ac:dyDescent="0.3">
      <c r="A49" t="s">
        <v>107</v>
      </c>
      <c r="B49" s="2">
        <v>671</v>
      </c>
      <c r="C49" t="s">
        <v>108</v>
      </c>
      <c r="D49" s="1">
        <v>0.49</v>
      </c>
    </row>
    <row r="50" spans="1:6" x14ac:dyDescent="0.3">
      <c r="A50" t="s">
        <v>109</v>
      </c>
      <c r="B50" s="2">
        <v>1200</v>
      </c>
      <c r="C50" t="s">
        <v>111</v>
      </c>
      <c r="D50" s="1">
        <v>0.38</v>
      </c>
    </row>
    <row r="51" spans="1:6" x14ac:dyDescent="0.3">
      <c r="A51" t="s">
        <v>112</v>
      </c>
      <c r="B51" s="2">
        <v>199</v>
      </c>
      <c r="C51" t="s">
        <v>113</v>
      </c>
      <c r="D51" s="1">
        <v>0.61</v>
      </c>
    </row>
    <row r="52" spans="1:6" x14ac:dyDescent="0.3">
      <c r="A52" t="s">
        <v>114</v>
      </c>
      <c r="B52" s="2">
        <v>299</v>
      </c>
      <c r="C52" t="s">
        <v>115</v>
      </c>
      <c r="D52" s="1">
        <v>0.5</v>
      </c>
    </row>
    <row r="53" spans="1:6" x14ac:dyDescent="0.3">
      <c r="A53" t="s">
        <v>116</v>
      </c>
      <c r="B53" s="2">
        <v>1660</v>
      </c>
      <c r="C53" t="s">
        <v>118</v>
      </c>
      <c r="D53" s="1">
        <v>0.02</v>
      </c>
    </row>
    <row r="54" spans="1:6" x14ac:dyDescent="0.3">
      <c r="A54" t="s">
        <v>119</v>
      </c>
      <c r="B54" s="2">
        <v>299</v>
      </c>
      <c r="C54" t="s">
        <v>120</v>
      </c>
      <c r="D54" s="1">
        <v>0.22</v>
      </c>
    </row>
    <row r="55" spans="1:6" x14ac:dyDescent="0.3">
      <c r="A55" t="s">
        <v>121</v>
      </c>
      <c r="B55" s="2">
        <v>1459</v>
      </c>
      <c r="C55" t="s">
        <v>122</v>
      </c>
      <c r="D55" s="1">
        <v>0.03</v>
      </c>
    </row>
    <row r="56" spans="1:6" x14ac:dyDescent="0.3">
      <c r="A56" t="s">
        <v>123</v>
      </c>
      <c r="B56" s="2">
        <v>799</v>
      </c>
      <c r="C56" t="s">
        <v>124</v>
      </c>
      <c r="D56" s="1">
        <v>0.41</v>
      </c>
    </row>
    <row r="57" spans="1:6" x14ac:dyDescent="0.3">
      <c r="A57" t="s">
        <v>125</v>
      </c>
      <c r="B57" s="2">
        <v>499</v>
      </c>
      <c r="C57" t="s">
        <v>126</v>
      </c>
      <c r="D57" s="1">
        <v>0.45</v>
      </c>
    </row>
    <row r="58" spans="1:6" x14ac:dyDescent="0.3">
      <c r="A58" t="s">
        <v>127</v>
      </c>
      <c r="B58" s="2">
        <v>699</v>
      </c>
      <c r="C58" t="s">
        <v>124</v>
      </c>
      <c r="D58" s="1">
        <v>0.48</v>
      </c>
    </row>
    <row r="59" spans="1:6" x14ac:dyDescent="0.3">
      <c r="A59" t="s">
        <v>128</v>
      </c>
      <c r="B59" s="2">
        <v>799</v>
      </c>
      <c r="C59" t="s">
        <v>129</v>
      </c>
      <c r="D59" s="1">
        <v>0.49</v>
      </c>
    </row>
    <row r="60" spans="1:6" x14ac:dyDescent="0.3">
      <c r="A60" t="s">
        <v>130</v>
      </c>
      <c r="B60" s="2">
        <v>2799</v>
      </c>
      <c r="C60" t="s">
        <v>131</v>
      </c>
      <c r="D60" s="1">
        <v>0.27</v>
      </c>
    </row>
    <row r="61" spans="1:6" x14ac:dyDescent="0.3">
      <c r="A61" t="s">
        <v>125</v>
      </c>
      <c r="B61" s="2">
        <v>399</v>
      </c>
      <c r="C61" t="s">
        <v>132</v>
      </c>
      <c r="D61" s="1">
        <v>0.55000000000000004</v>
      </c>
    </row>
    <row r="62" spans="1:6" x14ac:dyDescent="0.3">
      <c r="A62" t="s">
        <v>133</v>
      </c>
      <c r="B62" s="2">
        <v>2170</v>
      </c>
      <c r="C62" t="s">
        <v>134</v>
      </c>
      <c r="D62" s="1">
        <v>0.13</v>
      </c>
      <c r="E62">
        <v>-6</v>
      </c>
      <c r="F62" t="s">
        <v>135</v>
      </c>
    </row>
    <row r="63" spans="1:6" x14ac:dyDescent="0.3">
      <c r="A63" t="s">
        <v>136</v>
      </c>
      <c r="B63" s="2">
        <v>458</v>
      </c>
      <c r="C63" t="s">
        <v>137</v>
      </c>
      <c r="D63" s="1">
        <v>0.54</v>
      </c>
      <c r="E63">
        <v>-10</v>
      </c>
      <c r="F63" t="s">
        <v>138</v>
      </c>
    </row>
    <row r="64" spans="1:6" x14ac:dyDescent="0.3">
      <c r="A64" t="s">
        <v>139</v>
      </c>
      <c r="B64" s="2">
        <v>2115</v>
      </c>
      <c r="C64" t="s">
        <v>140</v>
      </c>
      <c r="D64" s="1">
        <v>0.55000000000000004</v>
      </c>
      <c r="E64">
        <v>-13</v>
      </c>
      <c r="F64" t="s">
        <v>141</v>
      </c>
    </row>
    <row r="65" spans="1:6" x14ac:dyDescent="0.3">
      <c r="A65" t="s">
        <v>142</v>
      </c>
      <c r="B65" s="2">
        <v>445</v>
      </c>
      <c r="C65" t="s">
        <v>143</v>
      </c>
      <c r="D65" s="1">
        <v>0.49</v>
      </c>
      <c r="E65">
        <v>-69</v>
      </c>
      <c r="F65" t="s">
        <v>144</v>
      </c>
    </row>
    <row r="66" spans="1:6" x14ac:dyDescent="0.3">
      <c r="A66" t="s">
        <v>145</v>
      </c>
      <c r="B66" s="2">
        <v>325</v>
      </c>
      <c r="C66" t="s">
        <v>146</v>
      </c>
      <c r="D66" s="1">
        <v>0.52</v>
      </c>
      <c r="E66">
        <v>-15</v>
      </c>
      <c r="F66" t="s">
        <v>147</v>
      </c>
    </row>
    <row r="67" spans="1:6" x14ac:dyDescent="0.3">
      <c r="A67" t="s">
        <v>148</v>
      </c>
      <c r="B67" s="2">
        <v>1220</v>
      </c>
      <c r="C67" t="s">
        <v>149</v>
      </c>
      <c r="D67" s="1">
        <v>0.22</v>
      </c>
      <c r="E67">
        <v>-16</v>
      </c>
      <c r="F67" t="s">
        <v>150</v>
      </c>
    </row>
    <row r="68" spans="1:6" x14ac:dyDescent="0.3">
      <c r="A68" t="s">
        <v>151</v>
      </c>
      <c r="B68" s="2">
        <v>990</v>
      </c>
      <c r="C68" t="s">
        <v>152</v>
      </c>
      <c r="D68" s="1">
        <v>0.45</v>
      </c>
      <c r="E68">
        <v>-6</v>
      </c>
      <c r="F68" t="s">
        <v>153</v>
      </c>
    </row>
    <row r="69" spans="1:6" x14ac:dyDescent="0.3">
      <c r="A69" t="s">
        <v>154</v>
      </c>
      <c r="B69" s="2">
        <v>1000</v>
      </c>
      <c r="C69" t="s">
        <v>104</v>
      </c>
      <c r="D69" s="1">
        <v>0.5</v>
      </c>
      <c r="E69">
        <v>-7</v>
      </c>
      <c r="F69" t="s">
        <v>155</v>
      </c>
    </row>
    <row r="70" spans="1:6" x14ac:dyDescent="0.3">
      <c r="A70" t="s">
        <v>156</v>
      </c>
      <c r="B70" s="2">
        <v>3750</v>
      </c>
      <c r="C70" t="s">
        <v>157</v>
      </c>
      <c r="D70" s="1">
        <v>0.39</v>
      </c>
      <c r="E70">
        <v>-5</v>
      </c>
      <c r="F70" t="s">
        <v>138</v>
      </c>
    </row>
    <row r="71" spans="1:6" x14ac:dyDescent="0.3">
      <c r="A71" t="s">
        <v>158</v>
      </c>
      <c r="B71" s="2">
        <v>382</v>
      </c>
      <c r="C71" t="s">
        <v>159</v>
      </c>
      <c r="D71" s="1">
        <v>0.45</v>
      </c>
      <c r="E71">
        <v>-17</v>
      </c>
      <c r="F71" t="s">
        <v>160</v>
      </c>
    </row>
    <row r="72" spans="1:6" x14ac:dyDescent="0.3">
      <c r="A72" t="s">
        <v>161</v>
      </c>
      <c r="B72" s="2">
        <v>2300</v>
      </c>
      <c r="C72" t="s">
        <v>162</v>
      </c>
      <c r="D72" s="1">
        <v>0.28999999999999998</v>
      </c>
      <c r="E72">
        <v>-5</v>
      </c>
      <c r="F72" t="s">
        <v>138</v>
      </c>
    </row>
    <row r="73" spans="1:6" x14ac:dyDescent="0.3">
      <c r="A73" t="s">
        <v>163</v>
      </c>
      <c r="B73" s="2">
        <v>345</v>
      </c>
      <c r="C73" t="s">
        <v>165</v>
      </c>
      <c r="D73" s="1">
        <v>0.43</v>
      </c>
      <c r="E73">
        <v>-6</v>
      </c>
      <c r="F73" t="s">
        <v>155</v>
      </c>
    </row>
    <row r="74" spans="1:6" x14ac:dyDescent="0.3">
      <c r="A74" t="s">
        <v>166</v>
      </c>
      <c r="B74" s="2">
        <v>509</v>
      </c>
      <c r="C74" t="s">
        <v>167</v>
      </c>
      <c r="D74" s="1">
        <v>0.43</v>
      </c>
      <c r="E74">
        <v>-5</v>
      </c>
      <c r="F74" t="s">
        <v>138</v>
      </c>
    </row>
    <row r="75" spans="1:6" x14ac:dyDescent="0.3">
      <c r="A75" t="s">
        <v>168</v>
      </c>
      <c r="B75" s="2">
        <v>968</v>
      </c>
      <c r="C75" t="s">
        <v>152</v>
      </c>
      <c r="D75" s="1">
        <v>0.47</v>
      </c>
      <c r="E75">
        <v>-6</v>
      </c>
      <c r="F75" t="s">
        <v>153</v>
      </c>
    </row>
    <row r="76" spans="1:6" x14ac:dyDescent="0.3">
      <c r="A76" t="s">
        <v>169</v>
      </c>
      <c r="B76" s="2">
        <v>1570</v>
      </c>
      <c r="C76" t="s">
        <v>170</v>
      </c>
      <c r="D76" s="1">
        <v>0.47</v>
      </c>
      <c r="E76">
        <v>-7</v>
      </c>
      <c r="F76" t="s">
        <v>141</v>
      </c>
    </row>
    <row r="77" spans="1:6" x14ac:dyDescent="0.3">
      <c r="A77" t="s">
        <v>171</v>
      </c>
      <c r="B77" s="2">
        <v>790</v>
      </c>
      <c r="C77" t="s">
        <v>172</v>
      </c>
      <c r="D77" s="1">
        <v>0.47</v>
      </c>
    </row>
    <row r="78" spans="1:6" x14ac:dyDescent="0.3">
      <c r="A78" t="s">
        <v>173</v>
      </c>
      <c r="B78" s="2">
        <v>690</v>
      </c>
      <c r="C78" t="s">
        <v>110</v>
      </c>
      <c r="D78" s="1">
        <v>0.43</v>
      </c>
    </row>
    <row r="79" spans="1:6" x14ac:dyDescent="0.3">
      <c r="A79" t="s">
        <v>174</v>
      </c>
      <c r="B79" s="2">
        <v>1732</v>
      </c>
      <c r="C79" t="s">
        <v>175</v>
      </c>
      <c r="D79" s="1">
        <v>0.04</v>
      </c>
    </row>
    <row r="80" spans="1:6" x14ac:dyDescent="0.3">
      <c r="A80" t="s">
        <v>176</v>
      </c>
      <c r="B80" s="2">
        <v>230</v>
      </c>
      <c r="C80" t="s">
        <v>177</v>
      </c>
      <c r="D80" s="1">
        <v>0.49</v>
      </c>
    </row>
    <row r="81" spans="1:6" x14ac:dyDescent="0.3">
      <c r="A81" t="s">
        <v>178</v>
      </c>
      <c r="B81" s="2">
        <v>1189</v>
      </c>
      <c r="C81" t="s">
        <v>13</v>
      </c>
      <c r="D81" s="1">
        <v>0.46</v>
      </c>
      <c r="E81">
        <v>-1</v>
      </c>
      <c r="F81" t="s">
        <v>138</v>
      </c>
    </row>
    <row r="82" spans="1:6" x14ac:dyDescent="0.3">
      <c r="A82" t="s">
        <v>179</v>
      </c>
      <c r="B82" s="2">
        <v>979</v>
      </c>
      <c r="C82" t="s">
        <v>180</v>
      </c>
      <c r="D82" s="1">
        <v>0.49</v>
      </c>
      <c r="E82">
        <v>-1</v>
      </c>
      <c r="F82" t="s">
        <v>45</v>
      </c>
    </row>
    <row r="83" spans="1:6" x14ac:dyDescent="0.3">
      <c r="A83" t="s">
        <v>181</v>
      </c>
      <c r="B83" s="2">
        <v>1460</v>
      </c>
      <c r="C83" t="s">
        <v>182</v>
      </c>
      <c r="D83" s="1">
        <v>0.36</v>
      </c>
    </row>
    <row r="84" spans="1:6" x14ac:dyDescent="0.3">
      <c r="A84" t="s">
        <v>183</v>
      </c>
      <c r="B84" s="2">
        <v>1666</v>
      </c>
      <c r="C84" t="s">
        <v>118</v>
      </c>
      <c r="D84" s="1">
        <v>0.02</v>
      </c>
    </row>
    <row r="85" spans="1:6" x14ac:dyDescent="0.3">
      <c r="A85" t="s">
        <v>184</v>
      </c>
      <c r="B85" s="2">
        <v>330</v>
      </c>
      <c r="C85" t="s">
        <v>68</v>
      </c>
      <c r="D85" s="1">
        <v>0.49</v>
      </c>
      <c r="E85">
        <v>-1</v>
      </c>
      <c r="F85" t="s">
        <v>25</v>
      </c>
    </row>
    <row r="86" spans="1:6" x14ac:dyDescent="0.3">
      <c r="A86" t="s">
        <v>99</v>
      </c>
      <c r="B86" s="2">
        <v>610</v>
      </c>
      <c r="C86" t="s">
        <v>100</v>
      </c>
      <c r="D86" s="1">
        <v>0.42</v>
      </c>
    </row>
    <row r="87" spans="1:6" x14ac:dyDescent="0.3">
      <c r="A87" t="s">
        <v>112</v>
      </c>
      <c r="B87" s="2">
        <v>176</v>
      </c>
      <c r="C87" t="s">
        <v>164</v>
      </c>
      <c r="D87" s="1">
        <v>0.49</v>
      </c>
    </row>
    <row r="88" spans="1:6" x14ac:dyDescent="0.3">
      <c r="A88" t="s">
        <v>185</v>
      </c>
      <c r="B88" s="2">
        <v>1466</v>
      </c>
      <c r="C88" t="s">
        <v>118</v>
      </c>
      <c r="D88" s="1">
        <v>0.14000000000000001</v>
      </c>
    </row>
    <row r="89" spans="1:6" x14ac:dyDescent="0.3">
      <c r="A89" t="s">
        <v>186</v>
      </c>
      <c r="B89" s="2">
        <v>274</v>
      </c>
      <c r="C89" t="s">
        <v>187</v>
      </c>
      <c r="D89" s="1">
        <v>0.49</v>
      </c>
    </row>
    <row r="90" spans="1:6" x14ac:dyDescent="0.3">
      <c r="A90" t="s">
        <v>188</v>
      </c>
      <c r="B90" s="2">
        <v>799</v>
      </c>
      <c r="C90" t="s">
        <v>126</v>
      </c>
      <c r="D90" s="1">
        <v>0.11</v>
      </c>
    </row>
    <row r="91" spans="1:6" x14ac:dyDescent="0.3">
      <c r="A91" t="s">
        <v>128</v>
      </c>
      <c r="B91" s="2">
        <v>657</v>
      </c>
      <c r="C91" t="s">
        <v>189</v>
      </c>
      <c r="D91" s="1">
        <v>0.49</v>
      </c>
    </row>
    <row r="92" spans="1:6" x14ac:dyDescent="0.3">
      <c r="A92" t="s">
        <v>190</v>
      </c>
      <c r="B92" s="2">
        <v>1468</v>
      </c>
      <c r="C92" t="s">
        <v>118</v>
      </c>
      <c r="D92" s="1">
        <v>0.14000000000000001</v>
      </c>
    </row>
    <row r="93" spans="1:6" x14ac:dyDescent="0.3">
      <c r="A93" t="s">
        <v>191</v>
      </c>
      <c r="B93" s="2">
        <v>630</v>
      </c>
      <c r="C93" t="s">
        <v>192</v>
      </c>
      <c r="D93" s="1">
        <v>0.43</v>
      </c>
    </row>
    <row r="94" spans="1:6" x14ac:dyDescent="0.3">
      <c r="A94" t="s">
        <v>193</v>
      </c>
      <c r="B94" s="2">
        <v>850</v>
      </c>
      <c r="C94" t="s">
        <v>194</v>
      </c>
      <c r="D94" s="1">
        <v>0.5</v>
      </c>
    </row>
    <row r="95" spans="1:6" x14ac:dyDescent="0.3">
      <c r="A95" t="s">
        <v>195</v>
      </c>
      <c r="B95" s="2">
        <v>1300</v>
      </c>
      <c r="C95" t="s">
        <v>134</v>
      </c>
      <c r="D95" s="1">
        <v>0.48</v>
      </c>
    </row>
    <row r="96" spans="1:6" x14ac:dyDescent="0.3">
      <c r="A96" t="s">
        <v>196</v>
      </c>
      <c r="B96" s="2">
        <v>105</v>
      </c>
      <c r="C96" t="s">
        <v>197</v>
      </c>
      <c r="D96" s="1">
        <v>0.48</v>
      </c>
    </row>
    <row r="97" spans="1:6" x14ac:dyDescent="0.3">
      <c r="A97" t="s">
        <v>198</v>
      </c>
      <c r="B97" s="2">
        <v>899</v>
      </c>
      <c r="C97" t="s">
        <v>118</v>
      </c>
      <c r="D97" s="1">
        <v>0.47</v>
      </c>
    </row>
    <row r="98" spans="1:6" x14ac:dyDescent="0.3">
      <c r="A98" t="s">
        <v>198</v>
      </c>
      <c r="B98" s="2">
        <v>899</v>
      </c>
      <c r="C98" t="s">
        <v>118</v>
      </c>
      <c r="D98" s="1">
        <v>0.47</v>
      </c>
    </row>
    <row r="99" spans="1:6" x14ac:dyDescent="0.3">
      <c r="A99" t="s">
        <v>199</v>
      </c>
      <c r="B99" s="2">
        <v>1200</v>
      </c>
      <c r="C99" t="s">
        <v>200</v>
      </c>
      <c r="D99" s="1">
        <v>0.5</v>
      </c>
    </row>
    <row r="100" spans="1:6" x14ac:dyDescent="0.3">
      <c r="A100" t="s">
        <v>201</v>
      </c>
      <c r="B100" s="2">
        <v>1526</v>
      </c>
      <c r="C100" t="s">
        <v>117</v>
      </c>
      <c r="D100" s="1">
        <v>0.08</v>
      </c>
    </row>
    <row r="101" spans="1:6" x14ac:dyDescent="0.3">
      <c r="A101" t="s">
        <v>202</v>
      </c>
      <c r="B101" s="2">
        <v>1462</v>
      </c>
      <c r="C101" t="s">
        <v>122</v>
      </c>
      <c r="D101" s="1">
        <v>0.02</v>
      </c>
    </row>
    <row r="102" spans="1:6" x14ac:dyDescent="0.3">
      <c r="A102" t="s">
        <v>203</v>
      </c>
      <c r="B102" s="2">
        <v>248</v>
      </c>
      <c r="C102" t="s">
        <v>204</v>
      </c>
      <c r="D102" s="1">
        <v>0.49</v>
      </c>
    </row>
    <row r="103" spans="1:6" x14ac:dyDescent="0.3">
      <c r="A103" t="s">
        <v>205</v>
      </c>
      <c r="B103" s="2">
        <v>3546</v>
      </c>
      <c r="C103" t="s">
        <v>51</v>
      </c>
      <c r="D103" s="1">
        <v>0.04</v>
      </c>
    </row>
    <row r="104" spans="1:6" x14ac:dyDescent="0.3">
      <c r="A104" t="s">
        <v>206</v>
      </c>
      <c r="B104" s="2">
        <v>525</v>
      </c>
      <c r="C104" t="s">
        <v>207</v>
      </c>
      <c r="D104" s="1">
        <v>0.49</v>
      </c>
    </row>
    <row r="105" spans="1:6" x14ac:dyDescent="0.3">
      <c r="A105" t="s">
        <v>208</v>
      </c>
      <c r="B105" s="2">
        <v>1080</v>
      </c>
      <c r="C105" t="s">
        <v>209</v>
      </c>
      <c r="D105" s="1">
        <v>0.42</v>
      </c>
    </row>
    <row r="106" spans="1:6" x14ac:dyDescent="0.3">
      <c r="A106" t="s">
        <v>210</v>
      </c>
      <c r="B106" s="2">
        <v>3640</v>
      </c>
      <c r="C106" t="s">
        <v>211</v>
      </c>
      <c r="D106" s="1">
        <v>0.21</v>
      </c>
      <c r="E106">
        <v>-1</v>
      </c>
      <c r="F106" t="s">
        <v>45</v>
      </c>
    </row>
    <row r="107" spans="1:6" x14ac:dyDescent="0.3">
      <c r="A107" t="s">
        <v>212</v>
      </c>
      <c r="B107" s="2">
        <v>1420</v>
      </c>
      <c r="C107" t="s">
        <v>213</v>
      </c>
      <c r="D107" s="1">
        <v>0.41</v>
      </c>
    </row>
    <row r="108" spans="1:6" x14ac:dyDescent="0.3">
      <c r="A108" t="s">
        <v>214</v>
      </c>
      <c r="B108" s="2">
        <v>1875</v>
      </c>
      <c r="C108" t="s">
        <v>215</v>
      </c>
      <c r="D108" s="1">
        <v>0.01</v>
      </c>
    </row>
    <row r="109" spans="1:6" x14ac:dyDescent="0.3">
      <c r="A109" t="s">
        <v>216</v>
      </c>
      <c r="B109" s="2">
        <v>198</v>
      </c>
      <c r="C109" t="s">
        <v>217</v>
      </c>
      <c r="D109" s="1">
        <v>0.24</v>
      </c>
    </row>
    <row r="110" spans="1:6" x14ac:dyDescent="0.3">
      <c r="A110" t="s">
        <v>218</v>
      </c>
      <c r="B110" s="2">
        <v>1150</v>
      </c>
      <c r="C110" t="s">
        <v>219</v>
      </c>
      <c r="D110" s="1">
        <v>0.34</v>
      </c>
    </row>
    <row r="111" spans="1:6" x14ac:dyDescent="0.3">
      <c r="A111" t="s">
        <v>220</v>
      </c>
      <c r="B111" s="2">
        <v>1190</v>
      </c>
      <c r="C111" t="s">
        <v>221</v>
      </c>
      <c r="D111" s="1">
        <v>0.34</v>
      </c>
    </row>
    <row r="112" spans="1:6" x14ac:dyDescent="0.3">
      <c r="A112" t="s">
        <v>222</v>
      </c>
      <c r="B112" s="2">
        <v>1658</v>
      </c>
      <c r="C112" t="s">
        <v>118</v>
      </c>
      <c r="D112" s="1">
        <v>0.02</v>
      </c>
    </row>
    <row r="113" spans="1:6" x14ac:dyDescent="0.3">
      <c r="A113" t="s">
        <v>223</v>
      </c>
      <c r="B113" s="2">
        <v>1768</v>
      </c>
      <c r="C113" t="s">
        <v>175</v>
      </c>
      <c r="D113" s="1">
        <v>0.02</v>
      </c>
    </row>
    <row r="114" spans="1:6" x14ac:dyDescent="0.3">
      <c r="A114" t="s">
        <v>224</v>
      </c>
      <c r="B114" s="2">
        <v>199</v>
      </c>
      <c r="C114" t="s">
        <v>225</v>
      </c>
      <c r="D114" s="1">
        <v>0.64</v>
      </c>
    </row>
    <row r="115" spans="1:6" x14ac:dyDescent="0.3">
      <c r="A115" t="s">
        <v>226</v>
      </c>
      <c r="B115" s="2">
        <v>450</v>
      </c>
      <c r="C115" t="s">
        <v>126</v>
      </c>
      <c r="D115" s="1">
        <v>0.5</v>
      </c>
      <c r="E115">
        <v>-1</v>
      </c>
      <c r="F115" t="s">
        <v>227</v>
      </c>
    </row>
    <row r="116" spans="1:6" x14ac:dyDescent="0.3">
      <c r="A116" t="s">
        <v>228</v>
      </c>
      <c r="B116" s="2">
        <v>169</v>
      </c>
      <c r="C116" t="s">
        <v>229</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592D-43DC-40BF-8A04-CDB3939260DC}">
  <dimension ref="A1:W116"/>
  <sheetViews>
    <sheetView zoomScale="46" zoomScaleNormal="46" workbookViewId="0">
      <selection activeCell="N15" sqref="N15"/>
    </sheetView>
  </sheetViews>
  <sheetFormatPr defaultRowHeight="14.4" x14ac:dyDescent="0.3"/>
  <cols>
    <col min="1" max="1" width="85.33203125" bestFit="1" customWidth="1"/>
    <col min="2" max="2" width="14.5546875" style="5" bestFit="1" customWidth="1"/>
    <col min="3" max="3" width="14.5546875" style="5" customWidth="1"/>
    <col min="4" max="4" width="18.33203125" style="5" bestFit="1" customWidth="1"/>
    <col min="5" max="5" width="18.33203125" style="5" customWidth="1"/>
    <col min="6" max="6" width="21.6640625" bestFit="1" customWidth="1"/>
    <col min="8" max="8" width="15.6640625" bestFit="1" customWidth="1"/>
    <col min="9" max="9" width="15.6640625" style="4" bestFit="1" customWidth="1"/>
    <col min="12" max="12" width="16" customWidth="1"/>
    <col min="14" max="14" width="43.5546875" customWidth="1"/>
    <col min="15" max="15" width="17.44140625" customWidth="1"/>
    <col min="16" max="16" width="12.88671875" customWidth="1"/>
  </cols>
  <sheetData>
    <row r="1" spans="1:18" ht="15" thickBot="1" x14ac:dyDescent="0.35">
      <c r="A1" t="s">
        <v>0</v>
      </c>
      <c r="B1" s="5" t="s">
        <v>1</v>
      </c>
      <c r="C1" s="5" t="s">
        <v>243</v>
      </c>
      <c r="D1" s="5" t="s">
        <v>2</v>
      </c>
      <c r="E1" s="5" t="s">
        <v>240</v>
      </c>
      <c r="F1" s="5" t="s">
        <v>242</v>
      </c>
      <c r="G1" t="s">
        <v>3</v>
      </c>
      <c r="H1" t="s">
        <v>4</v>
      </c>
      <c r="I1" t="s">
        <v>241</v>
      </c>
      <c r="J1" s="4" t="s">
        <v>239</v>
      </c>
    </row>
    <row r="2" spans="1:18" ht="15" thickBot="1" x14ac:dyDescent="0.35">
      <c r="A2" t="s">
        <v>156</v>
      </c>
      <c r="B2" s="5">
        <v>3750</v>
      </c>
      <c r="C2" s="5" t="str">
        <f t="shared" ref="C2:C33" si="0">IF(B2&lt;500,"Low Price",IF(B2&lt;=2000,"Medium Price","High Price"))</f>
        <v>High Price</v>
      </c>
      <c r="D2" s="5">
        <v>6143</v>
      </c>
      <c r="E2" s="5">
        <f t="shared" ref="E2:E33" si="1">D2-B2</f>
        <v>2393</v>
      </c>
      <c r="F2" s="8" t="str">
        <f t="shared" ref="F2:F33" si="2">IF(G2&lt;20%,"Low Discount",IF(G2&lt;=40%,"Medium Discount","High Discount"))</f>
        <v>Medium Discount</v>
      </c>
      <c r="G2" s="1">
        <v>0.39</v>
      </c>
      <c r="H2">
        <v>5</v>
      </c>
      <c r="I2" s="10" t="str">
        <f t="shared" ref="I2:I33" si="3">IF(J2&lt;3,"Poor",IF(J2&lt;4,"Average","Excellent"))</f>
        <v>Average</v>
      </c>
      <c r="J2" s="4">
        <v>3</v>
      </c>
    </row>
    <row r="3" spans="1:18" x14ac:dyDescent="0.3">
      <c r="A3" t="s">
        <v>210</v>
      </c>
      <c r="B3" s="5">
        <v>3640</v>
      </c>
      <c r="C3" s="5" t="str">
        <f t="shared" si="0"/>
        <v>High Price</v>
      </c>
      <c r="D3" s="5">
        <v>4588</v>
      </c>
      <c r="E3" s="5">
        <f t="shared" si="1"/>
        <v>948</v>
      </c>
      <c r="F3" s="5" t="str">
        <f t="shared" si="2"/>
        <v>Medium Discount</v>
      </c>
      <c r="G3" s="1">
        <v>0.21</v>
      </c>
      <c r="H3">
        <v>1</v>
      </c>
      <c r="I3" t="str">
        <f t="shared" si="3"/>
        <v>Excellent</v>
      </c>
      <c r="J3" s="4">
        <v>5</v>
      </c>
    </row>
    <row r="4" spans="1:18" x14ac:dyDescent="0.3">
      <c r="A4" t="s">
        <v>205</v>
      </c>
      <c r="B4" s="5">
        <v>3546</v>
      </c>
      <c r="C4" s="5" t="str">
        <f t="shared" si="0"/>
        <v>High Price</v>
      </c>
      <c r="D4" s="5">
        <v>3699</v>
      </c>
      <c r="E4" s="5">
        <f t="shared" si="1"/>
        <v>153</v>
      </c>
      <c r="F4" s="5" t="str">
        <f t="shared" si="2"/>
        <v>Low Discount</v>
      </c>
      <c r="G4" s="1">
        <v>0.04</v>
      </c>
      <c r="I4" t="str">
        <f t="shared" si="3"/>
        <v>Poor</v>
      </c>
      <c r="J4" s="4"/>
    </row>
    <row r="5" spans="1:18" x14ac:dyDescent="0.3">
      <c r="A5" t="s">
        <v>23</v>
      </c>
      <c r="B5" s="5">
        <v>2999</v>
      </c>
      <c r="C5" s="5" t="str">
        <f t="shared" si="0"/>
        <v>High Price</v>
      </c>
      <c r="D5" s="5">
        <v>3290</v>
      </c>
      <c r="E5" s="5">
        <f t="shared" si="1"/>
        <v>291</v>
      </c>
      <c r="F5" s="5" t="str">
        <f t="shared" si="2"/>
        <v>Low Discount</v>
      </c>
      <c r="G5" s="1">
        <v>0.09</v>
      </c>
      <c r="H5">
        <v>15</v>
      </c>
      <c r="I5" t="str">
        <f t="shared" si="3"/>
        <v>Excellent</v>
      </c>
      <c r="J5" s="4">
        <v>4</v>
      </c>
    </row>
    <row r="6" spans="1:18" x14ac:dyDescent="0.3">
      <c r="A6" t="s">
        <v>50</v>
      </c>
      <c r="B6" s="5">
        <v>2999</v>
      </c>
      <c r="C6" s="5" t="str">
        <f t="shared" si="0"/>
        <v>High Price</v>
      </c>
      <c r="D6" s="5">
        <v>3699</v>
      </c>
      <c r="E6" s="5">
        <f t="shared" si="1"/>
        <v>700</v>
      </c>
      <c r="F6" s="5" t="str">
        <f t="shared" si="2"/>
        <v>Low Discount</v>
      </c>
      <c r="G6" s="1">
        <v>0.19</v>
      </c>
      <c r="H6">
        <v>5</v>
      </c>
      <c r="I6" t="str">
        <f t="shared" si="3"/>
        <v>Excellent</v>
      </c>
      <c r="J6" s="4">
        <v>4.5999999999999996</v>
      </c>
    </row>
    <row r="7" spans="1:18" x14ac:dyDescent="0.3">
      <c r="A7" t="s">
        <v>69</v>
      </c>
      <c r="B7" s="5">
        <v>2880</v>
      </c>
      <c r="C7" s="5" t="str">
        <f t="shared" si="0"/>
        <v>High Price</v>
      </c>
      <c r="D7" s="5">
        <v>3520</v>
      </c>
      <c r="E7" s="5">
        <f t="shared" si="1"/>
        <v>640</v>
      </c>
      <c r="F7" s="5" t="str">
        <f t="shared" si="2"/>
        <v>Low Discount</v>
      </c>
      <c r="G7" s="1">
        <v>0.18</v>
      </c>
      <c r="H7">
        <v>12</v>
      </c>
      <c r="I7" t="str">
        <f t="shared" si="3"/>
        <v>Average</v>
      </c>
      <c r="J7" s="4">
        <v>3.8</v>
      </c>
      <c r="M7" t="s">
        <v>237</v>
      </c>
      <c r="N7" t="s">
        <v>236</v>
      </c>
    </row>
    <row r="8" spans="1:18" x14ac:dyDescent="0.3">
      <c r="A8" t="s">
        <v>130</v>
      </c>
      <c r="B8" s="5">
        <v>2799</v>
      </c>
      <c r="C8" s="5" t="str">
        <f t="shared" si="0"/>
        <v>High Price</v>
      </c>
      <c r="D8" s="5">
        <v>3810</v>
      </c>
      <c r="E8" s="5">
        <f t="shared" si="1"/>
        <v>1011</v>
      </c>
      <c r="F8" s="5" t="str">
        <f t="shared" si="2"/>
        <v>Medium Discount</v>
      </c>
      <c r="G8" s="1">
        <v>0.27</v>
      </c>
      <c r="I8" t="str">
        <f t="shared" si="3"/>
        <v>Poor</v>
      </c>
      <c r="J8" s="4"/>
      <c r="M8">
        <f>COUNTA(A2:A116)</f>
        <v>115</v>
      </c>
      <c r="N8">
        <v>10</v>
      </c>
      <c r="P8" s="3" t="s">
        <v>230</v>
      </c>
      <c r="Q8" s="3" t="s">
        <v>238</v>
      </c>
      <c r="R8" s="3"/>
    </row>
    <row r="9" spans="1:18" x14ac:dyDescent="0.3">
      <c r="A9" t="s">
        <v>93</v>
      </c>
      <c r="B9" s="5">
        <v>2750</v>
      </c>
      <c r="C9" s="5" t="str">
        <f t="shared" si="0"/>
        <v>High Price</v>
      </c>
      <c r="D9" s="5">
        <v>4471</v>
      </c>
      <c r="E9" s="5">
        <f t="shared" si="1"/>
        <v>1721</v>
      </c>
      <c r="F9" s="5" t="str">
        <f t="shared" si="2"/>
        <v>Medium Discount</v>
      </c>
      <c r="G9" s="1">
        <v>0.38</v>
      </c>
      <c r="I9" t="str">
        <f t="shared" si="3"/>
        <v>Poor</v>
      </c>
      <c r="J9" s="4"/>
    </row>
    <row r="10" spans="1:18" x14ac:dyDescent="0.3">
      <c r="A10" t="s">
        <v>26</v>
      </c>
      <c r="B10" s="5">
        <v>2319</v>
      </c>
      <c r="C10" s="5" t="str">
        <f t="shared" si="0"/>
        <v>High Price</v>
      </c>
      <c r="D10" s="5">
        <v>3032</v>
      </c>
      <c r="E10" s="5">
        <f t="shared" si="1"/>
        <v>713</v>
      </c>
      <c r="F10" s="5" t="str">
        <f t="shared" si="2"/>
        <v>Medium Discount</v>
      </c>
      <c r="G10" s="1">
        <v>0.24</v>
      </c>
      <c r="H10">
        <v>55</v>
      </c>
      <c r="I10" t="str">
        <f t="shared" si="3"/>
        <v>Excellent</v>
      </c>
      <c r="J10" s="4">
        <v>4.5999999999999996</v>
      </c>
      <c r="P10" t="s">
        <v>231</v>
      </c>
      <c r="Q10">
        <f>COUNTBLANK(A2:A116)</f>
        <v>0</v>
      </c>
    </row>
    <row r="11" spans="1:18" x14ac:dyDescent="0.3">
      <c r="A11" t="s">
        <v>161</v>
      </c>
      <c r="B11" s="5">
        <v>2300</v>
      </c>
      <c r="C11" s="5" t="str">
        <f t="shared" si="0"/>
        <v>High Price</v>
      </c>
      <c r="D11" s="5">
        <v>3240</v>
      </c>
      <c r="E11" s="5">
        <f t="shared" si="1"/>
        <v>940</v>
      </c>
      <c r="F11" s="5" t="str">
        <f t="shared" si="2"/>
        <v>Medium Discount</v>
      </c>
      <c r="G11" s="1">
        <v>0.28999999999999998</v>
      </c>
      <c r="H11">
        <v>5</v>
      </c>
      <c r="I11" t="str">
        <f t="shared" si="3"/>
        <v>Average</v>
      </c>
      <c r="J11" s="4">
        <v>3</v>
      </c>
      <c r="P11" t="s">
        <v>232</v>
      </c>
      <c r="Q11">
        <f>COUNTBLANK(B2:B116)</f>
        <v>0</v>
      </c>
    </row>
    <row r="12" spans="1:18" x14ac:dyDescent="0.3">
      <c r="A12" t="s">
        <v>74</v>
      </c>
      <c r="B12" s="5">
        <v>2200</v>
      </c>
      <c r="C12" s="5" t="str">
        <f t="shared" si="0"/>
        <v>High Price</v>
      </c>
      <c r="D12" s="5">
        <v>4080</v>
      </c>
      <c r="E12" s="5">
        <f t="shared" si="1"/>
        <v>1880</v>
      </c>
      <c r="F12" s="5" t="str">
        <f t="shared" si="2"/>
        <v>High Discount</v>
      </c>
      <c r="G12" s="1">
        <v>0.46</v>
      </c>
      <c r="I12" t="str">
        <f t="shared" si="3"/>
        <v>Poor</v>
      </c>
      <c r="J12" s="4"/>
      <c r="P12" t="s">
        <v>2</v>
      </c>
      <c r="Q12">
        <f>COUNTBLANK(D2:D116)</f>
        <v>0</v>
      </c>
    </row>
    <row r="13" spans="1:18" x14ac:dyDescent="0.3">
      <c r="A13" t="s">
        <v>12</v>
      </c>
      <c r="B13" s="5">
        <v>2199</v>
      </c>
      <c r="C13" s="5" t="str">
        <f t="shared" si="0"/>
        <v>High Price</v>
      </c>
      <c r="D13" s="5">
        <v>2923</v>
      </c>
      <c r="E13" s="5">
        <f t="shared" si="1"/>
        <v>724</v>
      </c>
      <c r="F13" s="5" t="str">
        <f t="shared" si="2"/>
        <v>Medium Discount</v>
      </c>
      <c r="G13" s="1">
        <v>0.25</v>
      </c>
      <c r="H13">
        <v>24</v>
      </c>
      <c r="I13" t="str">
        <f t="shared" si="3"/>
        <v>Excellent</v>
      </c>
      <c r="J13" s="4">
        <v>4.5999999999999996</v>
      </c>
      <c r="P13" t="s">
        <v>233</v>
      </c>
      <c r="Q13">
        <f>COUNTBLANK(G2:G116)</f>
        <v>0</v>
      </c>
    </row>
    <row r="14" spans="1:18" x14ac:dyDescent="0.3">
      <c r="A14" t="s">
        <v>133</v>
      </c>
      <c r="B14" s="5">
        <v>2170</v>
      </c>
      <c r="C14" s="5" t="str">
        <f t="shared" si="0"/>
        <v>High Price</v>
      </c>
      <c r="D14" s="5">
        <v>2500</v>
      </c>
      <c r="E14" s="5">
        <f t="shared" si="1"/>
        <v>330</v>
      </c>
      <c r="F14" s="5" t="str">
        <f t="shared" si="2"/>
        <v>Low Discount</v>
      </c>
      <c r="G14" s="1">
        <v>0.13</v>
      </c>
      <c r="H14">
        <v>6</v>
      </c>
      <c r="I14" t="str">
        <f t="shared" si="3"/>
        <v>Poor</v>
      </c>
      <c r="J14" s="4">
        <v>2.5</v>
      </c>
      <c r="P14" t="s">
        <v>234</v>
      </c>
      <c r="Q14">
        <f>COUNTBLANK(H2:H116)</f>
        <v>58</v>
      </c>
    </row>
    <row r="15" spans="1:18" x14ac:dyDescent="0.3">
      <c r="A15" t="s">
        <v>101</v>
      </c>
      <c r="B15" s="5">
        <v>2132</v>
      </c>
      <c r="C15" s="5" t="str">
        <f t="shared" si="0"/>
        <v>High Price</v>
      </c>
      <c r="D15" s="5">
        <v>2169</v>
      </c>
      <c r="E15" s="5">
        <f t="shared" si="1"/>
        <v>37</v>
      </c>
      <c r="F15" s="5" t="str">
        <f t="shared" si="2"/>
        <v>Low Discount</v>
      </c>
      <c r="G15" s="1">
        <v>0.02</v>
      </c>
      <c r="I15" t="str">
        <f t="shared" si="3"/>
        <v>Poor</v>
      </c>
      <c r="J15" s="4"/>
      <c r="P15" t="s">
        <v>235</v>
      </c>
      <c r="Q15">
        <f>COUNTBLANK(J2:J116)</f>
        <v>58</v>
      </c>
    </row>
    <row r="16" spans="1:18" x14ac:dyDescent="0.3">
      <c r="A16" t="s">
        <v>139</v>
      </c>
      <c r="B16" s="5">
        <v>2115</v>
      </c>
      <c r="C16" s="5" t="str">
        <f t="shared" si="0"/>
        <v>High Price</v>
      </c>
      <c r="D16" s="5">
        <v>4700</v>
      </c>
      <c r="E16" s="5">
        <f t="shared" si="1"/>
        <v>2585</v>
      </c>
      <c r="F16" s="5" t="str">
        <f t="shared" si="2"/>
        <v>High Discount</v>
      </c>
      <c r="G16" s="1">
        <v>0.55000000000000004</v>
      </c>
      <c r="H16">
        <v>13</v>
      </c>
      <c r="I16" t="str">
        <f t="shared" si="3"/>
        <v>Poor</v>
      </c>
      <c r="J16" s="4">
        <v>2.1</v>
      </c>
    </row>
    <row r="17" spans="1:23" x14ac:dyDescent="0.3">
      <c r="A17" t="s">
        <v>64</v>
      </c>
      <c r="B17" s="5">
        <v>2048</v>
      </c>
      <c r="C17" s="5" t="str">
        <f t="shared" si="0"/>
        <v>High Price</v>
      </c>
      <c r="D17" s="5">
        <v>4500</v>
      </c>
      <c r="E17" s="5">
        <f t="shared" si="1"/>
        <v>2452</v>
      </c>
      <c r="F17" s="5" t="str">
        <f t="shared" si="2"/>
        <v>High Discount</v>
      </c>
      <c r="G17" s="1">
        <v>0.54</v>
      </c>
      <c r="H17">
        <v>7</v>
      </c>
      <c r="I17" t="str">
        <f t="shared" si="3"/>
        <v>Excellent</v>
      </c>
      <c r="J17" s="4">
        <v>4.3</v>
      </c>
    </row>
    <row r="18" spans="1:23" x14ac:dyDescent="0.3">
      <c r="A18" t="s">
        <v>48</v>
      </c>
      <c r="B18" s="5">
        <v>2025</v>
      </c>
      <c r="C18" s="5" t="str">
        <f t="shared" si="0"/>
        <v>High Price</v>
      </c>
      <c r="D18" s="5">
        <v>3971</v>
      </c>
      <c r="E18" s="5">
        <f t="shared" si="1"/>
        <v>1946</v>
      </c>
      <c r="F18" s="5" t="str">
        <f t="shared" si="2"/>
        <v>High Discount</v>
      </c>
      <c r="G18" s="1">
        <v>0.49</v>
      </c>
      <c r="H18">
        <v>3</v>
      </c>
      <c r="I18" t="str">
        <f t="shared" si="3"/>
        <v>Excellent</v>
      </c>
      <c r="J18" s="4">
        <v>5</v>
      </c>
    </row>
    <row r="19" spans="1:23" x14ac:dyDescent="0.3">
      <c r="A19" t="s">
        <v>84</v>
      </c>
      <c r="B19" s="5">
        <v>1980</v>
      </c>
      <c r="C19" s="5" t="str">
        <f t="shared" si="0"/>
        <v>Medium Price</v>
      </c>
      <c r="D19" s="5">
        <v>2699</v>
      </c>
      <c r="E19" s="5">
        <f t="shared" si="1"/>
        <v>719</v>
      </c>
      <c r="F19" s="5" t="str">
        <f t="shared" si="2"/>
        <v>Medium Discount</v>
      </c>
      <c r="G19" s="1">
        <v>0.27</v>
      </c>
      <c r="H19">
        <v>32</v>
      </c>
      <c r="I19" t="str">
        <f t="shared" si="3"/>
        <v>Excellent</v>
      </c>
      <c r="J19" s="4">
        <v>4.5</v>
      </c>
      <c r="L19" cm="1">
        <f t="array" ref="L19:R28">_xlfn.TAKE(_xlfn.SORTBY(B2:H1000,H2:H1000,-1),10)</f>
        <v>445</v>
      </c>
      <c r="M19" t="str">
        <v>Low Price</v>
      </c>
      <c r="N19">
        <v>873</v>
      </c>
      <c r="O19">
        <v>428</v>
      </c>
      <c r="P19" t="str">
        <v>High Discount</v>
      </c>
      <c r="Q19">
        <v>0.49</v>
      </c>
      <c r="R19">
        <v>69</v>
      </c>
    </row>
    <row r="20" spans="1:23" x14ac:dyDescent="0.3">
      <c r="A20" t="s">
        <v>82</v>
      </c>
      <c r="B20" s="5">
        <v>1940</v>
      </c>
      <c r="C20" s="5" t="str">
        <f t="shared" si="0"/>
        <v>Medium Price</v>
      </c>
      <c r="D20" s="5">
        <v>2650</v>
      </c>
      <c r="E20" s="5">
        <f t="shared" si="1"/>
        <v>710</v>
      </c>
      <c r="F20" s="5" t="str">
        <f t="shared" si="2"/>
        <v>Medium Discount</v>
      </c>
      <c r="G20" s="1">
        <v>0.27</v>
      </c>
      <c r="H20">
        <v>20</v>
      </c>
      <c r="I20" t="str">
        <f t="shared" si="3"/>
        <v>Excellent</v>
      </c>
      <c r="J20" s="4">
        <v>4.7</v>
      </c>
      <c r="L20">
        <v>2319</v>
      </c>
      <c r="M20" t="str">
        <v>High Price</v>
      </c>
      <c r="N20">
        <v>3032</v>
      </c>
      <c r="O20">
        <v>713</v>
      </c>
      <c r="P20" t="str">
        <v>Medium Discount</v>
      </c>
      <c r="Q20">
        <v>0.24</v>
      </c>
      <c r="R20">
        <v>55</v>
      </c>
    </row>
    <row r="21" spans="1:23" x14ac:dyDescent="0.3">
      <c r="A21" t="s">
        <v>214</v>
      </c>
      <c r="B21" s="5">
        <v>1875</v>
      </c>
      <c r="C21" s="5" t="str">
        <f t="shared" si="0"/>
        <v>Medium Price</v>
      </c>
      <c r="D21" s="5">
        <v>1899</v>
      </c>
      <c r="E21" s="5">
        <f t="shared" si="1"/>
        <v>24</v>
      </c>
      <c r="F21" s="5" t="str">
        <f t="shared" si="2"/>
        <v>Low Discount</v>
      </c>
      <c r="G21" s="1">
        <v>0.01</v>
      </c>
      <c r="I21" t="str">
        <f t="shared" si="3"/>
        <v>Poor</v>
      </c>
      <c r="J21" s="4"/>
      <c r="L21">
        <v>420</v>
      </c>
      <c r="M21" t="str">
        <v>Low Price</v>
      </c>
      <c r="N21">
        <v>647</v>
      </c>
      <c r="O21">
        <v>227</v>
      </c>
      <c r="P21" t="str">
        <v>Medium Discount</v>
      </c>
      <c r="Q21">
        <v>0.35</v>
      </c>
      <c r="R21">
        <v>49</v>
      </c>
    </row>
    <row r="22" spans="1:23" x14ac:dyDescent="0.3">
      <c r="A22" t="s">
        <v>57</v>
      </c>
      <c r="B22" s="5">
        <v>1860</v>
      </c>
      <c r="C22" s="5" t="str">
        <f t="shared" si="0"/>
        <v>Medium Price</v>
      </c>
      <c r="D22" s="5">
        <v>3220</v>
      </c>
      <c r="E22" s="5">
        <f t="shared" si="1"/>
        <v>1360</v>
      </c>
      <c r="F22" s="5" t="str">
        <f t="shared" si="2"/>
        <v>High Discount</v>
      </c>
      <c r="G22" s="1">
        <v>0.42</v>
      </c>
      <c r="I22" t="str">
        <f t="shared" si="3"/>
        <v>Poor</v>
      </c>
      <c r="J22" s="4"/>
      <c r="L22">
        <v>998</v>
      </c>
      <c r="M22" t="str">
        <v>Medium Price</v>
      </c>
      <c r="N22">
        <v>1966</v>
      </c>
      <c r="O22">
        <v>968</v>
      </c>
      <c r="P22" t="str">
        <v>High Discount</v>
      </c>
      <c r="Q22">
        <v>0.49</v>
      </c>
      <c r="R22">
        <v>44</v>
      </c>
    </row>
    <row r="23" spans="1:23" x14ac:dyDescent="0.3">
      <c r="A23" t="s">
        <v>80</v>
      </c>
      <c r="B23" s="5">
        <v>1820</v>
      </c>
      <c r="C23" s="5" t="str">
        <f t="shared" si="0"/>
        <v>Medium Price</v>
      </c>
      <c r="D23" s="5">
        <v>3490</v>
      </c>
      <c r="E23" s="5">
        <f t="shared" si="1"/>
        <v>1670</v>
      </c>
      <c r="F23" s="5" t="str">
        <f t="shared" si="2"/>
        <v>High Discount</v>
      </c>
      <c r="G23" s="1">
        <v>0.48</v>
      </c>
      <c r="H23">
        <v>9</v>
      </c>
      <c r="I23" t="str">
        <f t="shared" si="3"/>
        <v>Excellent</v>
      </c>
      <c r="J23" s="4">
        <v>4.3</v>
      </c>
      <c r="L23">
        <v>990</v>
      </c>
      <c r="M23" t="str">
        <v>Medium Price</v>
      </c>
      <c r="N23">
        <v>1500</v>
      </c>
      <c r="O23">
        <v>510</v>
      </c>
      <c r="P23" t="str">
        <v>Medium Discount</v>
      </c>
      <c r="Q23">
        <v>0.34</v>
      </c>
      <c r="R23">
        <v>39</v>
      </c>
    </row>
    <row r="24" spans="1:23" x14ac:dyDescent="0.3">
      <c r="A24" t="s">
        <v>91</v>
      </c>
      <c r="B24" s="7">
        <v>1800</v>
      </c>
      <c r="C24" s="5" t="str">
        <f t="shared" si="0"/>
        <v>Medium Price</v>
      </c>
      <c r="D24" s="6">
        <v>2700</v>
      </c>
      <c r="E24" s="6">
        <f t="shared" si="1"/>
        <v>900</v>
      </c>
      <c r="F24" s="6" t="str">
        <f t="shared" si="2"/>
        <v>Medium Discount</v>
      </c>
      <c r="G24" s="1">
        <v>0.38</v>
      </c>
      <c r="H24">
        <v>2</v>
      </c>
      <c r="I24" t="str">
        <f t="shared" si="3"/>
        <v>Excellent</v>
      </c>
      <c r="J24" s="4">
        <v>4.5</v>
      </c>
      <c r="L24">
        <v>389</v>
      </c>
      <c r="M24" t="str">
        <v>Low Price</v>
      </c>
      <c r="N24">
        <v>656</v>
      </c>
      <c r="O24">
        <v>267</v>
      </c>
      <c r="P24" t="str">
        <v>High Discount</v>
      </c>
      <c r="Q24">
        <v>0.41</v>
      </c>
      <c r="R24">
        <v>36</v>
      </c>
    </row>
    <row r="25" spans="1:23" x14ac:dyDescent="0.3">
      <c r="A25" t="s">
        <v>223</v>
      </c>
      <c r="B25" s="5">
        <v>1768</v>
      </c>
      <c r="C25" s="5" t="str">
        <f t="shared" si="0"/>
        <v>Medium Price</v>
      </c>
      <c r="D25" s="5">
        <v>1799</v>
      </c>
      <c r="E25" s="5">
        <f t="shared" si="1"/>
        <v>31</v>
      </c>
      <c r="F25" s="5" t="str">
        <f t="shared" si="2"/>
        <v>Low Discount</v>
      </c>
      <c r="G25" s="1">
        <v>0.02</v>
      </c>
      <c r="I25" t="str">
        <f t="shared" si="3"/>
        <v>Poor</v>
      </c>
      <c r="J25" s="4"/>
      <c r="L25">
        <v>1980</v>
      </c>
      <c r="M25" t="str">
        <v>Medium Price</v>
      </c>
      <c r="N25">
        <v>2699</v>
      </c>
      <c r="O25">
        <v>719</v>
      </c>
      <c r="P25" t="str">
        <v>Medium Discount</v>
      </c>
      <c r="Q25">
        <v>0.27</v>
      </c>
      <c r="R25">
        <v>32</v>
      </c>
    </row>
    <row r="26" spans="1:23" x14ac:dyDescent="0.3">
      <c r="A26" t="s">
        <v>73</v>
      </c>
      <c r="B26" s="5">
        <v>1758</v>
      </c>
      <c r="C26" s="5" t="str">
        <f t="shared" si="0"/>
        <v>Medium Price</v>
      </c>
      <c r="D26" s="5">
        <v>2499</v>
      </c>
      <c r="E26" s="5">
        <f t="shared" si="1"/>
        <v>741</v>
      </c>
      <c r="F26" s="5" t="str">
        <f t="shared" si="2"/>
        <v>Medium Discount</v>
      </c>
      <c r="G26" s="1">
        <v>0.3</v>
      </c>
      <c r="H26">
        <v>20</v>
      </c>
      <c r="I26" t="str">
        <f t="shared" si="3"/>
        <v>Excellent</v>
      </c>
      <c r="J26" s="4">
        <v>4.0999999999999996</v>
      </c>
      <c r="L26">
        <v>2199</v>
      </c>
      <c r="M26" t="str">
        <v>High Price</v>
      </c>
      <c r="N26">
        <v>2923</v>
      </c>
      <c r="O26">
        <v>724</v>
      </c>
      <c r="P26" t="str">
        <v>Medium Discount</v>
      </c>
      <c r="Q26">
        <v>0.25</v>
      </c>
      <c r="R26">
        <v>24</v>
      </c>
    </row>
    <row r="27" spans="1:23" x14ac:dyDescent="0.3">
      <c r="A27" t="s">
        <v>20</v>
      </c>
      <c r="B27" s="5">
        <v>1740</v>
      </c>
      <c r="C27" s="5" t="str">
        <f t="shared" si="0"/>
        <v>Medium Price</v>
      </c>
      <c r="D27" s="5">
        <v>2356</v>
      </c>
      <c r="E27" s="5">
        <f t="shared" si="1"/>
        <v>616</v>
      </c>
      <c r="F27" s="5" t="str">
        <f t="shared" si="2"/>
        <v>Medium Discount</v>
      </c>
      <c r="G27" s="1">
        <v>0.26</v>
      </c>
      <c r="H27">
        <v>5</v>
      </c>
      <c r="I27" t="str">
        <f t="shared" si="3"/>
        <v>Excellent</v>
      </c>
      <c r="J27" s="4">
        <v>4.8</v>
      </c>
      <c r="L27">
        <v>1940</v>
      </c>
      <c r="M27" t="str">
        <v>Medium Price</v>
      </c>
      <c r="N27">
        <v>2650</v>
      </c>
      <c r="O27">
        <v>710</v>
      </c>
      <c r="P27" t="str">
        <v>Medium Discount</v>
      </c>
      <c r="Q27">
        <v>0.27</v>
      </c>
      <c r="R27">
        <v>20</v>
      </c>
    </row>
    <row r="28" spans="1:23" x14ac:dyDescent="0.3">
      <c r="A28" t="s">
        <v>174</v>
      </c>
      <c r="B28" s="5">
        <v>1732</v>
      </c>
      <c r="C28" s="5" t="str">
        <f t="shared" si="0"/>
        <v>Medium Price</v>
      </c>
      <c r="D28" s="5">
        <v>1799</v>
      </c>
      <c r="E28" s="5">
        <f t="shared" si="1"/>
        <v>67</v>
      </c>
      <c r="F28" s="5" t="str">
        <f t="shared" si="2"/>
        <v>Low Discount</v>
      </c>
      <c r="G28" s="1">
        <v>0.04</v>
      </c>
      <c r="I28" t="str">
        <f t="shared" si="3"/>
        <v>Poor</v>
      </c>
      <c r="J28" s="4"/>
      <c r="L28">
        <v>1758</v>
      </c>
      <c r="M28" t="str">
        <v>Medium Price</v>
      </c>
      <c r="N28">
        <v>2499</v>
      </c>
      <c r="O28">
        <v>741</v>
      </c>
      <c r="P28" t="str">
        <v>Medium Discount</v>
      </c>
      <c r="Q28">
        <v>0.3</v>
      </c>
      <c r="R28">
        <v>20</v>
      </c>
    </row>
    <row r="29" spans="1:23" x14ac:dyDescent="0.3">
      <c r="A29" t="s">
        <v>41</v>
      </c>
      <c r="B29" s="5">
        <v>1680</v>
      </c>
      <c r="C29" s="5" t="str">
        <f t="shared" si="0"/>
        <v>Medium Price</v>
      </c>
      <c r="D29" s="5">
        <v>2499</v>
      </c>
      <c r="E29" s="5">
        <f t="shared" si="1"/>
        <v>819</v>
      </c>
      <c r="F29" s="5" t="str">
        <f t="shared" si="2"/>
        <v>Medium Discount</v>
      </c>
      <c r="G29" s="1">
        <v>0.33</v>
      </c>
      <c r="H29">
        <v>9</v>
      </c>
      <c r="I29" t="str">
        <f t="shared" si="3"/>
        <v>Excellent</v>
      </c>
      <c r="J29" s="4">
        <v>4.2</v>
      </c>
    </row>
    <row r="30" spans="1:23" x14ac:dyDescent="0.3">
      <c r="A30" t="s">
        <v>183</v>
      </c>
      <c r="B30" s="5">
        <v>1666</v>
      </c>
      <c r="C30" s="5" t="str">
        <f t="shared" si="0"/>
        <v>Medium Price</v>
      </c>
      <c r="D30" s="5">
        <v>1699</v>
      </c>
      <c r="E30" s="5">
        <f t="shared" si="1"/>
        <v>33</v>
      </c>
      <c r="F30" s="5" t="str">
        <f t="shared" si="2"/>
        <v>Low Discount</v>
      </c>
      <c r="G30" s="1">
        <v>0.02</v>
      </c>
      <c r="I30" t="str">
        <f t="shared" si="3"/>
        <v>Poor</v>
      </c>
      <c r="J30" s="4"/>
    </row>
    <row r="31" spans="1:23" x14ac:dyDescent="0.3">
      <c r="A31" t="s">
        <v>116</v>
      </c>
      <c r="B31" s="5">
        <v>1660</v>
      </c>
      <c r="C31" s="5" t="str">
        <f t="shared" si="0"/>
        <v>Medium Price</v>
      </c>
      <c r="D31" s="5">
        <v>1699</v>
      </c>
      <c r="E31" s="5">
        <f t="shared" si="1"/>
        <v>39</v>
      </c>
      <c r="F31" s="5" t="str">
        <f t="shared" si="2"/>
        <v>Low Discount</v>
      </c>
      <c r="G31" s="1">
        <v>0.02</v>
      </c>
      <c r="I31" t="str">
        <f t="shared" si="3"/>
        <v>Poor</v>
      </c>
      <c r="J31" s="4"/>
    </row>
    <row r="32" spans="1:23" x14ac:dyDescent="0.3">
      <c r="A32" t="s">
        <v>222</v>
      </c>
      <c r="B32" s="5">
        <v>1658</v>
      </c>
      <c r="C32" s="5" t="str">
        <f t="shared" si="0"/>
        <v>Medium Price</v>
      </c>
      <c r="D32" s="5">
        <v>1699</v>
      </c>
      <c r="E32" s="5">
        <f t="shared" si="1"/>
        <v>41</v>
      </c>
      <c r="F32" s="5" t="str">
        <f t="shared" si="2"/>
        <v>Low Discount</v>
      </c>
      <c r="G32" s="1">
        <v>0.02</v>
      </c>
      <c r="I32" t="str">
        <f t="shared" si="3"/>
        <v>Poor</v>
      </c>
      <c r="J32" s="4"/>
      <c r="N32" t="str" cm="1">
        <f t="array" ref="N32:W41">_xlfn.TAKE(_xlfn.SORTBY(A2:J101,J2:J101,-1),10)</f>
        <v>Konka Healty Electric Kettle, 24-hour Heat Preservation,1.5L,800W, White</v>
      </c>
      <c r="O32">
        <v>3640</v>
      </c>
      <c r="P32" t="str">
        <v>High Price</v>
      </c>
      <c r="Q32">
        <v>4588</v>
      </c>
      <c r="R32">
        <v>948</v>
      </c>
      <c r="S32" t="str">
        <v>Medium Discount</v>
      </c>
      <c r="T32">
        <v>0.21</v>
      </c>
      <c r="U32">
        <v>1</v>
      </c>
      <c r="V32" t="str">
        <v>Excellent</v>
      </c>
      <c r="W32">
        <v>5</v>
      </c>
    </row>
    <row r="33" spans="1:23" x14ac:dyDescent="0.3">
      <c r="A33" t="s">
        <v>61</v>
      </c>
      <c r="B33" s="5">
        <v>1650</v>
      </c>
      <c r="C33" s="5" t="str">
        <f t="shared" si="0"/>
        <v>Medium Price</v>
      </c>
      <c r="D33" s="5">
        <v>2150</v>
      </c>
      <c r="E33" s="5">
        <f t="shared" si="1"/>
        <v>500</v>
      </c>
      <c r="F33" s="5" t="str">
        <f t="shared" si="2"/>
        <v>Medium Discount</v>
      </c>
      <c r="G33" s="1">
        <v>0.23</v>
      </c>
      <c r="H33">
        <v>14</v>
      </c>
      <c r="I33" t="str">
        <f t="shared" si="3"/>
        <v>Excellent</v>
      </c>
      <c r="J33" s="4">
        <v>4.4000000000000004</v>
      </c>
      <c r="N33" t="str">
        <v>LASA Aluminum Folding Truck Hand Cart - 68kg Max</v>
      </c>
      <c r="O33">
        <v>2025</v>
      </c>
      <c r="P33" t="str">
        <v>High Price</v>
      </c>
      <c r="Q33">
        <v>3971</v>
      </c>
      <c r="R33">
        <v>1946</v>
      </c>
      <c r="S33" t="str">
        <v>High Discount</v>
      </c>
      <c r="T33">
        <v>0.49</v>
      </c>
      <c r="U33">
        <v>3</v>
      </c>
      <c r="V33" t="str">
        <v>Excellent</v>
      </c>
      <c r="W33">
        <v>5</v>
      </c>
    </row>
    <row r="34" spans="1:23" x14ac:dyDescent="0.3">
      <c r="A34" t="s">
        <v>86</v>
      </c>
      <c r="B34" s="5">
        <v>1620</v>
      </c>
      <c r="C34" s="5" t="str">
        <f t="shared" ref="C34:C65" si="4">IF(B34&lt;500,"Low Price",IF(B34&lt;=2000,"Medium Price","High Price"))</f>
        <v>Medium Price</v>
      </c>
      <c r="D34" s="5">
        <v>2690</v>
      </c>
      <c r="E34" s="5">
        <f t="shared" ref="E34:E65" si="5">D34-B34</f>
        <v>1070</v>
      </c>
      <c r="F34" s="5" t="str">
        <f t="shared" ref="F34:F65" si="6">IF(G34&lt;20%,"Low Discount",IF(G34&lt;=40%,"Medium Discount","High Discount"))</f>
        <v>Medium Discount</v>
      </c>
      <c r="G34" s="1">
        <v>0.4</v>
      </c>
      <c r="H34">
        <v>1</v>
      </c>
      <c r="I34" t="str">
        <f t="shared" ref="I34:I65" si="7">IF(J34&lt;3,"Poor",IF(J34&lt;4,"Average","Excellent"))</f>
        <v>Excellent</v>
      </c>
      <c r="J34" s="4">
        <v>5</v>
      </c>
      <c r="N34" t="str">
        <v>DIY File Folder, Office Drawer File Holder, Pen Holder, Desktop Storage Rack</v>
      </c>
      <c r="O34">
        <v>1620</v>
      </c>
      <c r="P34" t="str">
        <v>Medium Price</v>
      </c>
      <c r="Q34">
        <v>2690</v>
      </c>
      <c r="R34">
        <v>1070</v>
      </c>
      <c r="S34" t="str">
        <v>Medium Discount</v>
      </c>
      <c r="T34">
        <v>0.4</v>
      </c>
      <c r="U34">
        <v>1</v>
      </c>
      <c r="V34" t="str">
        <v>Excellent</v>
      </c>
      <c r="W34">
        <v>5</v>
      </c>
    </row>
    <row r="35" spans="1:23" x14ac:dyDescent="0.3">
      <c r="A35" t="s">
        <v>31</v>
      </c>
      <c r="B35" s="5">
        <v>1600</v>
      </c>
      <c r="C35" s="5" t="str">
        <f t="shared" si="4"/>
        <v>Medium Price</v>
      </c>
      <c r="D35" s="5">
        <v>2929</v>
      </c>
      <c r="E35" s="5">
        <f t="shared" si="5"/>
        <v>1329</v>
      </c>
      <c r="F35" s="5" t="str">
        <f t="shared" si="6"/>
        <v>High Discount</v>
      </c>
      <c r="G35" s="1">
        <v>0.45</v>
      </c>
      <c r="H35">
        <v>5</v>
      </c>
      <c r="I35" t="str">
        <f t="shared" si="7"/>
        <v>Average</v>
      </c>
      <c r="J35" s="4">
        <v>3.8</v>
      </c>
      <c r="N35" t="str">
        <v>Bedroom Simple Floor Hanging Clothes Rack Single Pole Hat Rack - White</v>
      </c>
      <c r="O35">
        <v>979</v>
      </c>
      <c r="P35" t="str">
        <v>Medium Price</v>
      </c>
      <c r="Q35">
        <v>1920</v>
      </c>
      <c r="R35">
        <v>941</v>
      </c>
      <c r="S35" t="str">
        <v>High Discount</v>
      </c>
      <c r="T35">
        <v>0.49</v>
      </c>
      <c r="U35">
        <v>1</v>
      </c>
      <c r="V35" t="str">
        <v>Excellent</v>
      </c>
      <c r="W35">
        <v>5</v>
      </c>
    </row>
    <row r="36" spans="1:23" x14ac:dyDescent="0.3">
      <c r="A36" t="s">
        <v>16</v>
      </c>
      <c r="B36" s="5">
        <v>1580</v>
      </c>
      <c r="C36" s="5" t="str">
        <f t="shared" si="4"/>
        <v>Medium Price</v>
      </c>
      <c r="D36" s="5">
        <v>2499</v>
      </c>
      <c r="E36" s="5">
        <f t="shared" si="5"/>
        <v>919</v>
      </c>
      <c r="F36" s="5" t="str">
        <f t="shared" si="6"/>
        <v>Medium Discount</v>
      </c>
      <c r="G36" s="1">
        <v>0.37</v>
      </c>
      <c r="H36">
        <v>7</v>
      </c>
      <c r="I36" t="str">
        <f t="shared" si="7"/>
        <v>Excellent</v>
      </c>
      <c r="J36" s="4">
        <v>4.7</v>
      </c>
      <c r="N36" t="str">
        <v>Anti-Skid Absorbent Insulation Coaster  For Home Office</v>
      </c>
      <c r="O36">
        <v>332</v>
      </c>
      <c r="P36" t="str">
        <v>Low Price</v>
      </c>
      <c r="Q36">
        <v>684</v>
      </c>
      <c r="R36">
        <v>352</v>
      </c>
      <c r="S36" t="str">
        <v>High Discount</v>
      </c>
      <c r="T36">
        <v>0.51</v>
      </c>
      <c r="U36">
        <v>2</v>
      </c>
      <c r="V36" t="str">
        <v>Excellent</v>
      </c>
      <c r="W36">
        <v>5</v>
      </c>
    </row>
    <row r="37" spans="1:23" x14ac:dyDescent="0.3">
      <c r="A37" t="s">
        <v>169</v>
      </c>
      <c r="B37" s="5">
        <v>1570</v>
      </c>
      <c r="C37" s="5" t="str">
        <f t="shared" si="4"/>
        <v>Medium Price</v>
      </c>
      <c r="D37" s="5">
        <v>2988</v>
      </c>
      <c r="E37" s="5">
        <f t="shared" si="5"/>
        <v>1418</v>
      </c>
      <c r="F37" s="5" t="str">
        <f t="shared" si="6"/>
        <v>High Discount</v>
      </c>
      <c r="G37" s="1">
        <v>0.47</v>
      </c>
      <c r="H37">
        <v>7</v>
      </c>
      <c r="I37" t="str">
        <f t="shared" si="7"/>
        <v>Poor</v>
      </c>
      <c r="J37" s="4">
        <v>2.1</v>
      </c>
      <c r="N37" t="str">
        <v>Portable Home Small Air Humidifier 3-Speed Fan - Green</v>
      </c>
      <c r="O37">
        <v>1740</v>
      </c>
      <c r="P37" t="str">
        <v>Medium Price</v>
      </c>
      <c r="Q37">
        <v>2356</v>
      </c>
      <c r="R37">
        <v>616</v>
      </c>
      <c r="S37" t="str">
        <v>Medium Discount</v>
      </c>
      <c r="T37">
        <v>0.26</v>
      </c>
      <c r="U37">
        <v>5</v>
      </c>
      <c r="V37" t="str">
        <v>Excellent</v>
      </c>
      <c r="W37">
        <v>4.8</v>
      </c>
    </row>
    <row r="38" spans="1:23" x14ac:dyDescent="0.3">
      <c r="A38" t="s">
        <v>201</v>
      </c>
      <c r="B38" s="5">
        <v>1526</v>
      </c>
      <c r="C38" s="5" t="str">
        <f t="shared" si="4"/>
        <v>Medium Price</v>
      </c>
      <c r="D38" s="5">
        <v>1660</v>
      </c>
      <c r="E38" s="5">
        <f t="shared" si="5"/>
        <v>134</v>
      </c>
      <c r="F38" s="5" t="str">
        <f t="shared" si="6"/>
        <v>Low Discount</v>
      </c>
      <c r="G38" s="1">
        <v>0.08</v>
      </c>
      <c r="I38" t="str">
        <f t="shared" si="7"/>
        <v>Poor</v>
      </c>
      <c r="J38" s="4"/>
      <c r="N38" t="str">
        <v>LASA FOLDING TABLE SERVING STAND</v>
      </c>
      <c r="O38">
        <v>1274</v>
      </c>
      <c r="P38" t="str">
        <v>Medium Price</v>
      </c>
      <c r="Q38">
        <v>2800</v>
      </c>
      <c r="R38">
        <v>1526</v>
      </c>
      <c r="S38" t="str">
        <v>High Discount</v>
      </c>
      <c r="T38">
        <v>0.55000000000000004</v>
      </c>
      <c r="U38">
        <v>5</v>
      </c>
      <c r="V38" t="str">
        <v>Excellent</v>
      </c>
      <c r="W38">
        <v>4.8</v>
      </c>
    </row>
    <row r="39" spans="1:23" x14ac:dyDescent="0.3">
      <c r="A39" t="s">
        <v>190</v>
      </c>
      <c r="B39" s="5">
        <v>1468</v>
      </c>
      <c r="C39" s="5" t="str">
        <f t="shared" si="4"/>
        <v>Medium Price</v>
      </c>
      <c r="D39" s="5">
        <v>1699</v>
      </c>
      <c r="E39" s="5">
        <f t="shared" si="5"/>
        <v>231</v>
      </c>
      <c r="F39" s="5" t="str">
        <f t="shared" si="6"/>
        <v>Low Discount</v>
      </c>
      <c r="G39" s="1">
        <v>0.14000000000000001</v>
      </c>
      <c r="I39" t="str">
        <f t="shared" si="7"/>
        <v>Poor</v>
      </c>
      <c r="J39" s="4"/>
      <c r="N39" t="str">
        <v>40cm Gold DIY Acrylic Wall Sticker Clock</v>
      </c>
      <c r="O39">
        <v>552</v>
      </c>
      <c r="P39" t="str">
        <v>Medium Price</v>
      </c>
      <c r="Q39">
        <v>1035</v>
      </c>
      <c r="R39">
        <v>483</v>
      </c>
      <c r="S39" t="str">
        <v>High Discount</v>
      </c>
      <c r="T39">
        <v>0.47</v>
      </c>
      <c r="U39">
        <v>12</v>
      </c>
      <c r="V39" t="str">
        <v>Excellent</v>
      </c>
      <c r="W39">
        <v>4.8</v>
      </c>
    </row>
    <row r="40" spans="1:23" x14ac:dyDescent="0.3">
      <c r="A40" t="s">
        <v>185</v>
      </c>
      <c r="B40" s="5">
        <v>1466</v>
      </c>
      <c r="C40" s="5" t="str">
        <f t="shared" si="4"/>
        <v>Medium Price</v>
      </c>
      <c r="D40" s="5">
        <v>1699</v>
      </c>
      <c r="E40" s="5">
        <f t="shared" si="5"/>
        <v>233</v>
      </c>
      <c r="F40" s="5" t="str">
        <f t="shared" si="6"/>
        <v>Low Discount</v>
      </c>
      <c r="G40" s="1">
        <v>0.14000000000000001</v>
      </c>
      <c r="I40" t="str">
        <f t="shared" si="7"/>
        <v>Poor</v>
      </c>
      <c r="J40" s="4"/>
      <c r="N40" t="str">
        <v>53Pcs/Set Yarn Knitting Crochet Hooks With Bag - Fortune Cat</v>
      </c>
      <c r="O40">
        <v>1940</v>
      </c>
      <c r="P40" t="str">
        <v>Medium Price</v>
      </c>
      <c r="Q40">
        <v>2650</v>
      </c>
      <c r="R40">
        <v>710</v>
      </c>
      <c r="S40" t="str">
        <v>Medium Discount</v>
      </c>
      <c r="T40">
        <v>0.27</v>
      </c>
      <c r="U40">
        <v>20</v>
      </c>
      <c r="V40" t="str">
        <v>Excellent</v>
      </c>
      <c r="W40">
        <v>4.7</v>
      </c>
    </row>
    <row r="41" spans="1:23" x14ac:dyDescent="0.3">
      <c r="A41" t="s">
        <v>202</v>
      </c>
      <c r="B41" s="5">
        <v>1462</v>
      </c>
      <c r="C41" s="5" t="str">
        <f t="shared" si="4"/>
        <v>Medium Price</v>
      </c>
      <c r="D41" s="5">
        <v>1499</v>
      </c>
      <c r="E41" s="5">
        <f t="shared" si="5"/>
        <v>37</v>
      </c>
      <c r="F41" s="5" t="str">
        <f t="shared" si="6"/>
        <v>Low Discount</v>
      </c>
      <c r="G41" s="1">
        <v>0.02</v>
      </c>
      <c r="I41" t="str">
        <f t="shared" si="7"/>
        <v>Poor</v>
      </c>
      <c r="J41" s="4"/>
      <c r="N41" t="str">
        <v>Weighing Scale Digital Bathroom Body Fat Scale USB-Black</v>
      </c>
      <c r="O41">
        <v>1580</v>
      </c>
      <c r="P41" t="str">
        <v>Medium Price</v>
      </c>
      <c r="Q41">
        <v>2499</v>
      </c>
      <c r="R41">
        <v>919</v>
      </c>
      <c r="S41" t="str">
        <v>Medium Discount</v>
      </c>
      <c r="T41">
        <v>0.37</v>
      </c>
      <c r="U41">
        <v>7</v>
      </c>
      <c r="V41" t="str">
        <v>Excellent</v>
      </c>
      <c r="W41">
        <v>4.7</v>
      </c>
    </row>
    <row r="42" spans="1:23" x14ac:dyDescent="0.3">
      <c r="A42" t="s">
        <v>181</v>
      </c>
      <c r="B42" s="5">
        <v>1460</v>
      </c>
      <c r="C42" s="5" t="str">
        <f t="shared" si="4"/>
        <v>Medium Price</v>
      </c>
      <c r="D42" s="5">
        <v>2290</v>
      </c>
      <c r="E42" s="5">
        <f t="shared" si="5"/>
        <v>830</v>
      </c>
      <c r="F42" s="5" t="str">
        <f t="shared" si="6"/>
        <v>Medium Discount</v>
      </c>
      <c r="G42" s="1">
        <v>0.36</v>
      </c>
      <c r="I42" t="str">
        <f t="shared" si="7"/>
        <v>Poor</v>
      </c>
      <c r="J42" s="4"/>
    </row>
    <row r="43" spans="1:23" x14ac:dyDescent="0.3">
      <c r="A43" t="s">
        <v>121</v>
      </c>
      <c r="B43" s="5">
        <v>1459</v>
      </c>
      <c r="C43" s="5" t="str">
        <f t="shared" si="4"/>
        <v>Medium Price</v>
      </c>
      <c r="D43" s="5">
        <v>1499</v>
      </c>
      <c r="E43" s="5">
        <f t="shared" si="5"/>
        <v>40</v>
      </c>
      <c r="F43" s="5" t="str">
        <f t="shared" si="6"/>
        <v>Low Discount</v>
      </c>
      <c r="G43" s="1">
        <v>0.03</v>
      </c>
      <c r="I43" t="str">
        <f t="shared" si="7"/>
        <v>Poor</v>
      </c>
      <c r="J43" s="4"/>
    </row>
    <row r="44" spans="1:23" x14ac:dyDescent="0.3">
      <c r="A44" t="s">
        <v>212</v>
      </c>
      <c r="B44" s="5">
        <v>1420</v>
      </c>
      <c r="C44" s="5" t="str">
        <f t="shared" si="4"/>
        <v>Medium Price</v>
      </c>
      <c r="D44" s="5">
        <v>2420</v>
      </c>
      <c r="E44" s="5">
        <f t="shared" si="5"/>
        <v>1000</v>
      </c>
      <c r="F44" s="5" t="str">
        <f t="shared" si="6"/>
        <v>High Discount</v>
      </c>
      <c r="G44" s="1">
        <v>0.41</v>
      </c>
      <c r="I44" t="str">
        <f t="shared" si="7"/>
        <v>Poor</v>
      </c>
      <c r="J44" s="4"/>
      <c r="N44" t="str" cm="1">
        <f t="array" ref="N44:O53">_xlfn.TAKE(_xlfn.SORTBY(_xlfn.CHOOSECOLS(A2:J101,1,10),J2:J101,-1),10)</f>
        <v>Konka Healty Electric Kettle, 24-hour Heat Preservation,1.5L,800W, White</v>
      </c>
      <c r="O44">
        <v>5</v>
      </c>
    </row>
    <row r="45" spans="1:23" x14ac:dyDescent="0.3">
      <c r="A45" t="s">
        <v>71</v>
      </c>
      <c r="B45" s="5">
        <v>1350</v>
      </c>
      <c r="C45" s="5" t="str">
        <f t="shared" si="4"/>
        <v>Medium Price</v>
      </c>
      <c r="D45" s="5">
        <v>1990</v>
      </c>
      <c r="E45" s="5">
        <f t="shared" si="5"/>
        <v>640</v>
      </c>
      <c r="F45" s="5" t="str">
        <f t="shared" si="6"/>
        <v>Medium Discount</v>
      </c>
      <c r="G45" s="1">
        <v>0.32</v>
      </c>
      <c r="H45">
        <v>13</v>
      </c>
      <c r="I45" t="str">
        <f t="shared" si="7"/>
        <v>Average</v>
      </c>
      <c r="J45" s="4">
        <v>3.8</v>
      </c>
      <c r="N45" t="str">
        <v>LASA Aluminum Folding Truck Hand Cart - 68kg Max</v>
      </c>
      <c r="O45">
        <v>5</v>
      </c>
    </row>
    <row r="46" spans="1:23" x14ac:dyDescent="0.3">
      <c r="A46" t="s">
        <v>195</v>
      </c>
      <c r="B46" s="5">
        <v>1300</v>
      </c>
      <c r="C46" s="5" t="str">
        <f t="shared" si="4"/>
        <v>Medium Price</v>
      </c>
      <c r="D46" s="5">
        <v>2500</v>
      </c>
      <c r="E46" s="5">
        <f t="shared" si="5"/>
        <v>1200</v>
      </c>
      <c r="F46" s="5" t="str">
        <f t="shared" si="6"/>
        <v>High Discount</v>
      </c>
      <c r="G46" s="1">
        <v>0.48</v>
      </c>
      <c r="I46" t="str">
        <f t="shared" si="7"/>
        <v>Poor</v>
      </c>
      <c r="J46" s="4"/>
      <c r="N46" t="str">
        <v>DIY File Folder, Office Drawer File Holder, Pen Holder, Desktop Storage Rack</v>
      </c>
      <c r="O46">
        <v>5</v>
      </c>
    </row>
    <row r="47" spans="1:23" x14ac:dyDescent="0.3">
      <c r="A47" t="s">
        <v>29</v>
      </c>
      <c r="B47" s="5">
        <v>1274</v>
      </c>
      <c r="C47" s="5" t="str">
        <f t="shared" si="4"/>
        <v>Medium Price</v>
      </c>
      <c r="D47" s="5">
        <v>2800</v>
      </c>
      <c r="E47" s="5">
        <f t="shared" si="5"/>
        <v>1526</v>
      </c>
      <c r="F47" s="5" t="str">
        <f t="shared" si="6"/>
        <v>High Discount</v>
      </c>
      <c r="G47" s="1">
        <v>0.55000000000000004</v>
      </c>
      <c r="H47">
        <v>5</v>
      </c>
      <c r="I47" t="str">
        <f t="shared" si="7"/>
        <v>Excellent</v>
      </c>
      <c r="J47" s="4">
        <v>4.8</v>
      </c>
      <c r="N47" t="str">
        <v>Bedroom Simple Floor Hanging Clothes Rack Single Pole Hat Rack - White</v>
      </c>
      <c r="O47">
        <v>5</v>
      </c>
    </row>
    <row r="48" spans="1:23" x14ac:dyDescent="0.3">
      <c r="A48" t="s">
        <v>148</v>
      </c>
      <c r="B48" s="5">
        <v>1220</v>
      </c>
      <c r="C48" s="5" t="str">
        <f t="shared" si="4"/>
        <v>Medium Price</v>
      </c>
      <c r="D48" s="5">
        <v>1555</v>
      </c>
      <c r="E48" s="5">
        <f t="shared" si="5"/>
        <v>335</v>
      </c>
      <c r="F48" s="5" t="str">
        <f t="shared" si="6"/>
        <v>Medium Discount</v>
      </c>
      <c r="G48" s="1">
        <v>0.22</v>
      </c>
      <c r="H48">
        <v>16</v>
      </c>
      <c r="I48" t="str">
        <f t="shared" si="7"/>
        <v>Poor</v>
      </c>
      <c r="J48" s="4">
        <v>2.9</v>
      </c>
      <c r="N48" t="str">
        <v>Anti-Skid Absorbent Insulation Coaster  For Home Office</v>
      </c>
      <c r="O48">
        <v>5</v>
      </c>
    </row>
    <row r="49" spans="1:15" x14ac:dyDescent="0.3">
      <c r="A49" t="s">
        <v>109</v>
      </c>
      <c r="B49" s="5">
        <v>1200</v>
      </c>
      <c r="C49" s="5" t="str">
        <f t="shared" si="4"/>
        <v>Medium Price</v>
      </c>
      <c r="D49" s="5">
        <v>1950</v>
      </c>
      <c r="E49" s="5">
        <f t="shared" si="5"/>
        <v>750</v>
      </c>
      <c r="F49" s="5" t="str">
        <f t="shared" si="6"/>
        <v>Medium Discount</v>
      </c>
      <c r="G49" s="1">
        <v>0.38</v>
      </c>
      <c r="I49" t="str">
        <f t="shared" si="7"/>
        <v>Poor</v>
      </c>
      <c r="J49" s="4"/>
      <c r="N49" t="str">
        <v>Portable Home Small Air Humidifier 3-Speed Fan - Green</v>
      </c>
      <c r="O49">
        <v>4.8</v>
      </c>
    </row>
    <row r="50" spans="1:15" x14ac:dyDescent="0.3">
      <c r="A50" t="s">
        <v>199</v>
      </c>
      <c r="B50" s="5">
        <v>1200</v>
      </c>
      <c r="C50" s="5" t="str">
        <f t="shared" si="4"/>
        <v>Medium Price</v>
      </c>
      <c r="D50" s="5">
        <v>2400</v>
      </c>
      <c r="E50" s="5">
        <f t="shared" si="5"/>
        <v>1200</v>
      </c>
      <c r="F50" s="5" t="str">
        <f t="shared" si="6"/>
        <v>High Discount</v>
      </c>
      <c r="G50" s="1">
        <v>0.5</v>
      </c>
      <c r="I50" t="str">
        <f t="shared" si="7"/>
        <v>Poor</v>
      </c>
      <c r="J50" s="4"/>
      <c r="N50" t="str">
        <v>LASA FOLDING TABLE SERVING STAND</v>
      </c>
      <c r="O50">
        <v>4.8</v>
      </c>
    </row>
    <row r="51" spans="1:15" x14ac:dyDescent="0.3">
      <c r="A51" t="s">
        <v>105</v>
      </c>
      <c r="B51" s="5">
        <v>1190</v>
      </c>
      <c r="C51" s="5" t="str">
        <f t="shared" si="4"/>
        <v>Medium Price</v>
      </c>
      <c r="D51" s="5">
        <v>1785</v>
      </c>
      <c r="E51" s="5">
        <f t="shared" si="5"/>
        <v>595</v>
      </c>
      <c r="F51" s="5" t="str">
        <f t="shared" si="6"/>
        <v>Medium Discount</v>
      </c>
      <c r="G51" s="1">
        <v>0.33</v>
      </c>
      <c r="I51" t="str">
        <f t="shared" si="7"/>
        <v>Poor</v>
      </c>
      <c r="J51" s="4"/>
      <c r="N51" t="str">
        <v>40cm Gold DIY Acrylic Wall Sticker Clock</v>
      </c>
      <c r="O51">
        <v>4.8</v>
      </c>
    </row>
    <row r="52" spans="1:15" x14ac:dyDescent="0.3">
      <c r="A52" t="s">
        <v>220</v>
      </c>
      <c r="B52" s="5">
        <v>1190</v>
      </c>
      <c r="C52" s="5" t="str">
        <f t="shared" si="4"/>
        <v>Medium Price</v>
      </c>
      <c r="D52" s="5">
        <v>1810</v>
      </c>
      <c r="E52" s="5">
        <f t="shared" si="5"/>
        <v>620</v>
      </c>
      <c r="F52" s="5" t="str">
        <f t="shared" si="6"/>
        <v>Medium Discount</v>
      </c>
      <c r="G52" s="1">
        <v>0.34</v>
      </c>
      <c r="I52" t="str">
        <f t="shared" si="7"/>
        <v>Poor</v>
      </c>
      <c r="J52" s="4"/>
      <c r="N52" t="str">
        <v>53Pcs/Set Yarn Knitting Crochet Hooks With Bag - Fortune Cat</v>
      </c>
      <c r="O52">
        <v>4.7</v>
      </c>
    </row>
    <row r="53" spans="1:15" x14ac:dyDescent="0.3">
      <c r="A53" t="s">
        <v>178</v>
      </c>
      <c r="B53" s="5">
        <v>1189</v>
      </c>
      <c r="C53" s="5" t="str">
        <f t="shared" si="4"/>
        <v>Medium Price</v>
      </c>
      <c r="D53" s="5">
        <v>2199</v>
      </c>
      <c r="E53" s="5">
        <f t="shared" si="5"/>
        <v>1010</v>
      </c>
      <c r="F53" s="5" t="str">
        <f t="shared" si="6"/>
        <v>High Discount</v>
      </c>
      <c r="G53" s="1">
        <v>0.46</v>
      </c>
      <c r="H53">
        <v>1</v>
      </c>
      <c r="I53" t="str">
        <f t="shared" si="7"/>
        <v>Average</v>
      </c>
      <c r="J53" s="4">
        <v>3</v>
      </c>
      <c r="N53" t="str">
        <v>Weighing Scale Digital Bathroom Body Fat Scale USB-Black</v>
      </c>
      <c r="O53">
        <v>4.7</v>
      </c>
    </row>
    <row r="54" spans="1:15" x14ac:dyDescent="0.3">
      <c r="A54" t="s">
        <v>218</v>
      </c>
      <c r="B54" s="5">
        <v>1150</v>
      </c>
      <c r="C54" s="5" t="str">
        <f t="shared" si="4"/>
        <v>Medium Price</v>
      </c>
      <c r="D54" s="5">
        <v>1737</v>
      </c>
      <c r="E54" s="5">
        <f t="shared" si="5"/>
        <v>587</v>
      </c>
      <c r="F54" s="5" t="str">
        <f t="shared" si="6"/>
        <v>Medium Discount</v>
      </c>
      <c r="G54" s="1">
        <v>0.34</v>
      </c>
      <c r="I54" t="str">
        <f t="shared" si="7"/>
        <v>Poor</v>
      </c>
      <c r="J54" s="4"/>
    </row>
    <row r="55" spans="1:15" x14ac:dyDescent="0.3">
      <c r="A55" t="s">
        <v>208</v>
      </c>
      <c r="B55" s="5">
        <v>1080</v>
      </c>
      <c r="C55" s="5" t="str">
        <f t="shared" si="4"/>
        <v>Medium Price</v>
      </c>
      <c r="D55" s="5">
        <v>1874</v>
      </c>
      <c r="E55" s="5">
        <f t="shared" si="5"/>
        <v>794</v>
      </c>
      <c r="F55" s="5" t="str">
        <f t="shared" si="6"/>
        <v>High Discount</v>
      </c>
      <c r="G55" s="1">
        <v>0.42</v>
      </c>
      <c r="I55" t="str">
        <f t="shared" si="7"/>
        <v>Poor</v>
      </c>
      <c r="J55" s="4"/>
      <c r="N55" t="str" cm="1">
        <f t="array" ref="N55:O64">_xlfn.TAKE(_xlfn.SORTBY(_xlfn.CHOOSECOLS(A2:J101,1,8),H2:H101,-1),10)</f>
        <v>120W Cordless Vacuum Cleaners Handheld Electric Vacuum Cleaner</v>
      </c>
      <c r="O55">
        <v>69</v>
      </c>
    </row>
    <row r="56" spans="1:15" x14ac:dyDescent="0.3">
      <c r="A56" t="s">
        <v>154</v>
      </c>
      <c r="B56" s="5">
        <v>1000</v>
      </c>
      <c r="C56" s="5" t="str">
        <f t="shared" si="4"/>
        <v>Medium Price</v>
      </c>
      <c r="D56" s="5">
        <v>2000</v>
      </c>
      <c r="E56" s="5">
        <f t="shared" si="5"/>
        <v>1000</v>
      </c>
      <c r="F56" s="5" t="str">
        <f t="shared" si="6"/>
        <v>High Discount</v>
      </c>
      <c r="G56" s="1">
        <v>0.5</v>
      </c>
      <c r="H56">
        <v>7</v>
      </c>
      <c r="I56" t="str">
        <f t="shared" si="7"/>
        <v>Poor</v>
      </c>
      <c r="J56" s="4">
        <v>2.2999999999999998</v>
      </c>
      <c r="N56" t="str">
        <v>137 Pieces Cake Decorating Tool Set Baking Supplies</v>
      </c>
      <c r="O56">
        <v>55</v>
      </c>
    </row>
    <row r="57" spans="1:15" x14ac:dyDescent="0.3">
      <c r="A57" t="s">
        <v>103</v>
      </c>
      <c r="B57" s="5">
        <v>999</v>
      </c>
      <c r="C57" s="5" t="str">
        <f t="shared" si="4"/>
        <v>Medium Price</v>
      </c>
      <c r="D57" s="5">
        <v>2000</v>
      </c>
      <c r="E57" s="5">
        <f t="shared" si="5"/>
        <v>1001</v>
      </c>
      <c r="F57" s="5" t="str">
        <f t="shared" si="6"/>
        <v>High Discount</v>
      </c>
      <c r="G57" s="1">
        <v>0.5</v>
      </c>
      <c r="I57" t="str">
        <f t="shared" si="7"/>
        <v>Poor</v>
      </c>
      <c r="J57" s="4"/>
      <c r="N57" t="str">
        <v>Electronic Digital Display Vernier Caliper</v>
      </c>
      <c r="O57">
        <v>49</v>
      </c>
    </row>
    <row r="58" spans="1:15" x14ac:dyDescent="0.3">
      <c r="A58" t="s">
        <v>52</v>
      </c>
      <c r="B58" s="5">
        <v>998</v>
      </c>
      <c r="C58" s="5" t="str">
        <f t="shared" si="4"/>
        <v>Medium Price</v>
      </c>
      <c r="D58" s="5">
        <v>1966</v>
      </c>
      <c r="E58" s="5">
        <f t="shared" si="5"/>
        <v>968</v>
      </c>
      <c r="F58" s="5" t="str">
        <f t="shared" si="6"/>
        <v>High Discount</v>
      </c>
      <c r="G58" s="1">
        <v>0.49</v>
      </c>
      <c r="H58">
        <v>44</v>
      </c>
      <c r="I58" t="str">
        <f t="shared" si="7"/>
        <v>Excellent</v>
      </c>
      <c r="J58" s="4">
        <v>4.5999999999999996</v>
      </c>
      <c r="N58" t="str">
        <v>3D Waterproof EVA Plastic Shower Curtain 1.8*2Mtrs</v>
      </c>
      <c r="O58">
        <v>44</v>
      </c>
    </row>
    <row r="59" spans="1:15" x14ac:dyDescent="0.3">
      <c r="A59" t="s">
        <v>35</v>
      </c>
      <c r="B59" s="5">
        <v>990</v>
      </c>
      <c r="C59" s="5" t="str">
        <f t="shared" si="4"/>
        <v>Medium Price</v>
      </c>
      <c r="D59" s="5">
        <v>1500</v>
      </c>
      <c r="E59" s="5">
        <f t="shared" si="5"/>
        <v>510</v>
      </c>
      <c r="F59" s="5" t="str">
        <f t="shared" si="6"/>
        <v>Medium Discount</v>
      </c>
      <c r="G59" s="1">
        <v>0.34</v>
      </c>
      <c r="H59">
        <v>39</v>
      </c>
      <c r="I59" t="str">
        <f t="shared" si="7"/>
        <v>Excellent</v>
      </c>
      <c r="J59" s="4">
        <v>4.7</v>
      </c>
      <c r="N59" t="str">
        <v>100 Pcs Crochet Hook Tool Set Knitting Hook Set With Box</v>
      </c>
      <c r="O59">
        <v>39</v>
      </c>
    </row>
    <row r="60" spans="1:15" x14ac:dyDescent="0.3">
      <c r="A60" t="s">
        <v>151</v>
      </c>
      <c r="B60" s="5">
        <v>990</v>
      </c>
      <c r="C60" s="5" t="str">
        <f t="shared" si="4"/>
        <v>Medium Price</v>
      </c>
      <c r="D60" s="5">
        <v>1814</v>
      </c>
      <c r="E60" s="5">
        <f t="shared" si="5"/>
        <v>824</v>
      </c>
      <c r="F60" s="5" t="str">
        <f t="shared" si="6"/>
        <v>High Discount</v>
      </c>
      <c r="G60" s="1">
        <v>0.45</v>
      </c>
      <c r="H60">
        <v>6</v>
      </c>
      <c r="I60" t="str">
        <f t="shared" si="7"/>
        <v>Poor</v>
      </c>
      <c r="J60" s="4">
        <v>2.2000000000000002</v>
      </c>
      <c r="N60" t="str">
        <v>Punch-free Great Load Bearing Bathroom Storage Rack Wall Shelf-White</v>
      </c>
      <c r="O60">
        <v>36</v>
      </c>
    </row>
    <row r="61" spans="1:15" x14ac:dyDescent="0.3">
      <c r="A61" t="s">
        <v>28</v>
      </c>
      <c r="B61" s="5">
        <v>988</v>
      </c>
      <c r="C61" s="5" t="str">
        <f t="shared" si="4"/>
        <v>Medium Price</v>
      </c>
      <c r="D61" s="5">
        <v>1580</v>
      </c>
      <c r="E61" s="5">
        <f t="shared" si="5"/>
        <v>592</v>
      </c>
      <c r="F61" s="5" t="str">
        <f t="shared" si="6"/>
        <v>Medium Discount</v>
      </c>
      <c r="G61" s="1">
        <v>0.37</v>
      </c>
      <c r="H61">
        <v>2</v>
      </c>
      <c r="I61" t="str">
        <f t="shared" si="7"/>
        <v>Excellent</v>
      </c>
      <c r="J61" s="4">
        <v>4</v>
      </c>
      <c r="N61" t="str">
        <v>53 Pieces/Set Yarn Knitting Crochet Hooks With Bag - Pansies</v>
      </c>
      <c r="O61">
        <v>32</v>
      </c>
    </row>
    <row r="62" spans="1:15" x14ac:dyDescent="0.3">
      <c r="A62" t="s">
        <v>78</v>
      </c>
      <c r="B62" s="5">
        <v>980</v>
      </c>
      <c r="C62" s="5" t="str">
        <f t="shared" si="4"/>
        <v>Medium Price</v>
      </c>
      <c r="D62" s="5">
        <v>1490</v>
      </c>
      <c r="E62" s="5">
        <f t="shared" si="5"/>
        <v>510</v>
      </c>
      <c r="F62" s="5" t="str">
        <f t="shared" si="6"/>
        <v>Medium Discount</v>
      </c>
      <c r="G62" s="1">
        <v>0.34</v>
      </c>
      <c r="H62">
        <v>12</v>
      </c>
      <c r="I62" t="str">
        <f t="shared" si="7"/>
        <v>Excellent</v>
      </c>
      <c r="J62" s="4">
        <v>4.7</v>
      </c>
      <c r="N62" t="str">
        <v>Portable Mini Cordless Car Vacuum Cleaner - Blue</v>
      </c>
      <c r="O62">
        <v>24</v>
      </c>
    </row>
    <row r="63" spans="1:15" x14ac:dyDescent="0.3">
      <c r="A63" t="s">
        <v>179</v>
      </c>
      <c r="B63" s="5">
        <v>979</v>
      </c>
      <c r="C63" s="5" t="str">
        <f t="shared" si="4"/>
        <v>Medium Price</v>
      </c>
      <c r="D63" s="5">
        <v>1920</v>
      </c>
      <c r="E63" s="5">
        <f t="shared" si="5"/>
        <v>941</v>
      </c>
      <c r="F63" s="5" t="str">
        <f t="shared" si="6"/>
        <v>High Discount</v>
      </c>
      <c r="G63" s="1">
        <v>0.49</v>
      </c>
      <c r="H63">
        <v>1</v>
      </c>
      <c r="I63" t="str">
        <f t="shared" si="7"/>
        <v>Excellent</v>
      </c>
      <c r="J63" s="4">
        <v>5</v>
      </c>
      <c r="N63" t="str">
        <v>53Pcs/Set Yarn Knitting Crochet Hooks With Bag - Fortune Cat</v>
      </c>
      <c r="O63">
        <v>20</v>
      </c>
    </row>
    <row r="64" spans="1:15" x14ac:dyDescent="0.3">
      <c r="A64" t="s">
        <v>168</v>
      </c>
      <c r="B64" s="5">
        <v>968</v>
      </c>
      <c r="C64" s="5" t="str">
        <f t="shared" si="4"/>
        <v>Medium Price</v>
      </c>
      <c r="D64" s="5">
        <v>1814</v>
      </c>
      <c r="E64" s="5">
        <f t="shared" si="5"/>
        <v>846</v>
      </c>
      <c r="F64" s="5" t="str">
        <f t="shared" si="6"/>
        <v>High Discount</v>
      </c>
      <c r="G64" s="1">
        <v>0.47</v>
      </c>
      <c r="H64">
        <v>6</v>
      </c>
      <c r="I64" t="str">
        <f t="shared" si="7"/>
        <v>Poor</v>
      </c>
      <c r="J64" s="4">
        <v>2.2000000000000002</v>
      </c>
      <c r="N64" t="str">
        <v>52 Pieces Cake Decorating Tool Set Gift Kit Baking Supplies</v>
      </c>
      <c r="O64">
        <v>20</v>
      </c>
    </row>
    <row r="65" spans="1:18" ht="15.6" x14ac:dyDescent="0.3">
      <c r="A65" t="s">
        <v>6</v>
      </c>
      <c r="B65" s="5">
        <v>950</v>
      </c>
      <c r="C65" s="5" t="str">
        <f t="shared" si="4"/>
        <v>Medium Price</v>
      </c>
      <c r="D65" s="5">
        <v>1525</v>
      </c>
      <c r="E65" s="5">
        <f t="shared" si="5"/>
        <v>575</v>
      </c>
      <c r="F65" s="9" t="str">
        <f t="shared" si="6"/>
        <v>Medium Discount</v>
      </c>
      <c r="G65" s="1">
        <v>0.38</v>
      </c>
      <c r="H65">
        <v>2</v>
      </c>
      <c r="I65" s="11" t="str">
        <f t="shared" si="7"/>
        <v>Excellent</v>
      </c>
      <c r="J65" s="4">
        <v>4.5</v>
      </c>
      <c r="O65" s="13" t="s">
        <v>244</v>
      </c>
      <c r="R65" s="5">
        <f>AVERAGE(B2:B116)</f>
        <v>1174.3565217391304</v>
      </c>
    </row>
    <row r="66" spans="1:18" ht="15.6" x14ac:dyDescent="0.3">
      <c r="A66" t="s">
        <v>198</v>
      </c>
      <c r="B66" s="5">
        <v>899</v>
      </c>
      <c r="C66" s="5" t="str">
        <f t="shared" ref="C66:C97" si="8">IF(B66&lt;500,"Low Price",IF(B66&lt;=2000,"Medium Price","High Price"))</f>
        <v>Medium Price</v>
      </c>
      <c r="D66" s="5">
        <v>1699</v>
      </c>
      <c r="E66" s="5">
        <f t="shared" ref="E66:E97" si="9">D66-B66</f>
        <v>800</v>
      </c>
      <c r="F66" s="5" t="str">
        <f t="shared" ref="F66:F97" si="10">IF(G66&lt;20%,"Low Discount",IF(G66&lt;=40%,"Medium Discount","High Discount"))</f>
        <v>High Discount</v>
      </c>
      <c r="G66" s="1">
        <v>0.47</v>
      </c>
      <c r="I66" t="str">
        <f t="shared" ref="I66:I97" si="11">IF(J66&lt;3,"Poor",IF(J66&lt;4,"Average","Excellent"))</f>
        <v>Poor</v>
      </c>
      <c r="J66" s="4"/>
      <c r="O66" s="13" t="s">
        <v>245</v>
      </c>
      <c r="R66" s="5">
        <f>AVERAGE(D:D)</f>
        <v>1797.0695652173913</v>
      </c>
    </row>
    <row r="67" spans="1:18" ht="15.6" x14ac:dyDescent="0.3">
      <c r="A67" t="s">
        <v>198</v>
      </c>
      <c r="B67" s="5">
        <v>899</v>
      </c>
      <c r="C67" s="5" t="str">
        <f t="shared" si="8"/>
        <v>Medium Price</v>
      </c>
      <c r="D67" s="5">
        <v>1699</v>
      </c>
      <c r="E67" s="5">
        <f t="shared" si="9"/>
        <v>800</v>
      </c>
      <c r="F67" s="5" t="str">
        <f t="shared" si="10"/>
        <v>High Discount</v>
      </c>
      <c r="G67" s="1">
        <v>0.47</v>
      </c>
      <c r="I67" t="str">
        <f t="shared" si="11"/>
        <v>Poor</v>
      </c>
      <c r="J67" s="4"/>
      <c r="O67" s="13" t="s">
        <v>246</v>
      </c>
      <c r="R67" s="14">
        <f>AVERAGE(G:G)</f>
        <v>0.36956521739130432</v>
      </c>
    </row>
    <row r="68" spans="1:18" ht="15.6" x14ac:dyDescent="0.3">
      <c r="A68" t="s">
        <v>59</v>
      </c>
      <c r="B68" s="5">
        <v>880</v>
      </c>
      <c r="C68" s="5" t="str">
        <f t="shared" si="8"/>
        <v>Medium Price</v>
      </c>
      <c r="D68" s="5">
        <v>1350</v>
      </c>
      <c r="E68" s="5">
        <f t="shared" si="9"/>
        <v>470</v>
      </c>
      <c r="F68" s="5" t="str">
        <f t="shared" si="10"/>
        <v>Medium Discount</v>
      </c>
      <c r="G68" s="1">
        <v>0.35</v>
      </c>
      <c r="H68">
        <v>6</v>
      </c>
      <c r="I68" t="str">
        <f t="shared" si="11"/>
        <v>Excellent</v>
      </c>
      <c r="J68" s="4">
        <v>4</v>
      </c>
      <c r="O68" s="13" t="s">
        <v>247</v>
      </c>
      <c r="R68" s="4">
        <f>AVERAGE(J:J)</f>
        <v>3.8894736842105262</v>
      </c>
    </row>
    <row r="69" spans="1:18" ht="15.6" x14ac:dyDescent="0.3">
      <c r="A69" t="s">
        <v>193</v>
      </c>
      <c r="B69" s="5">
        <v>850</v>
      </c>
      <c r="C69" s="5" t="str">
        <f t="shared" si="8"/>
        <v>Medium Price</v>
      </c>
      <c r="D69" s="5">
        <v>1700</v>
      </c>
      <c r="E69" s="5">
        <f t="shared" si="9"/>
        <v>850</v>
      </c>
      <c r="F69" s="5" t="str">
        <f t="shared" si="10"/>
        <v>High Discount</v>
      </c>
      <c r="G69" s="1">
        <v>0.5</v>
      </c>
      <c r="I69" t="str">
        <f t="shared" si="11"/>
        <v>Poor</v>
      </c>
      <c r="J69" s="4"/>
      <c r="O69" s="13" t="s">
        <v>248</v>
      </c>
      <c r="R69">
        <f>COUNTA(A2:A116)</f>
        <v>115</v>
      </c>
    </row>
    <row r="70" spans="1:18" ht="15.6" x14ac:dyDescent="0.3">
      <c r="A70" t="s">
        <v>34</v>
      </c>
      <c r="B70" s="5">
        <v>799</v>
      </c>
      <c r="C70" s="5" t="str">
        <f t="shared" si="8"/>
        <v>Medium Price</v>
      </c>
      <c r="D70" s="5">
        <v>999</v>
      </c>
      <c r="E70" s="5">
        <f t="shared" si="9"/>
        <v>200</v>
      </c>
      <c r="F70" s="5" t="str">
        <f t="shared" si="10"/>
        <v>Medium Discount</v>
      </c>
      <c r="G70" s="1">
        <v>0.2</v>
      </c>
      <c r="H70">
        <v>12</v>
      </c>
      <c r="I70" t="str">
        <f t="shared" si="11"/>
        <v>Excellent</v>
      </c>
      <c r="J70" s="4">
        <v>4.0999999999999996</v>
      </c>
      <c r="O70" s="13" t="s">
        <v>249</v>
      </c>
      <c r="R70">
        <f>SUM(H2:H116)</f>
        <v>723</v>
      </c>
    </row>
    <row r="71" spans="1:18" ht="15.6" x14ac:dyDescent="0.3">
      <c r="A71" t="s">
        <v>123</v>
      </c>
      <c r="B71" s="5">
        <v>799</v>
      </c>
      <c r="C71" s="5" t="str">
        <f t="shared" si="8"/>
        <v>Medium Price</v>
      </c>
      <c r="D71" s="5">
        <v>1343</v>
      </c>
      <c r="E71" s="5">
        <f t="shared" si="9"/>
        <v>544</v>
      </c>
      <c r="F71" s="5" t="str">
        <f t="shared" si="10"/>
        <v>High Discount</v>
      </c>
      <c r="G71" s="1">
        <v>0.41</v>
      </c>
      <c r="I71" t="str">
        <f t="shared" si="11"/>
        <v>Poor</v>
      </c>
      <c r="J71" s="4"/>
      <c r="O71" s="12" t="s">
        <v>250</v>
      </c>
      <c r="Q71" t="str">
        <f>_xlfn.XLOOKUP(MAX(Table1[Current price]),Table1[Current price],Table1[Product])</f>
        <v>32PCS Portable Cordless Drill Set With Cyclic Battery Drive -26 Variable Speed</v>
      </c>
    </row>
    <row r="72" spans="1:18" ht="15.6" x14ac:dyDescent="0.3">
      <c r="A72" t="s">
        <v>128</v>
      </c>
      <c r="B72" s="5">
        <v>799</v>
      </c>
      <c r="C72" s="5" t="str">
        <f t="shared" si="8"/>
        <v>Medium Price</v>
      </c>
      <c r="D72" s="5">
        <v>1567</v>
      </c>
      <c r="E72" s="5">
        <f t="shared" si="9"/>
        <v>768</v>
      </c>
      <c r="F72" s="5" t="str">
        <f t="shared" si="10"/>
        <v>High Discount</v>
      </c>
      <c r="G72" s="1">
        <v>0.49</v>
      </c>
      <c r="I72" t="str">
        <f t="shared" si="11"/>
        <v>Poor</v>
      </c>
      <c r="J72" s="4"/>
      <c r="O72" s="13" t="s">
        <v>251</v>
      </c>
      <c r="Q72" t="str">
        <f>_xlfn.XLOOKUP(MIN(Table1[Current price]),Table1[Current price],Table1[Product])</f>
        <v>3PCS Single Head Knitting Crochet Sweater Needle Set</v>
      </c>
    </row>
    <row r="73" spans="1:18" x14ac:dyDescent="0.3">
      <c r="A73" t="s">
        <v>188</v>
      </c>
      <c r="B73" s="5">
        <v>799</v>
      </c>
      <c r="C73" s="5" t="str">
        <f t="shared" si="8"/>
        <v>Medium Price</v>
      </c>
      <c r="D73" s="5">
        <v>900</v>
      </c>
      <c r="E73" s="5">
        <f t="shared" si="9"/>
        <v>101</v>
      </c>
      <c r="F73" s="5" t="str">
        <f t="shared" si="10"/>
        <v>Low Discount</v>
      </c>
      <c r="G73" s="1">
        <v>0.11</v>
      </c>
      <c r="I73" t="str">
        <f t="shared" si="11"/>
        <v>Poor</v>
      </c>
      <c r="J73" s="4"/>
    </row>
    <row r="74" spans="1:18" x14ac:dyDescent="0.3">
      <c r="A74" t="s">
        <v>171</v>
      </c>
      <c r="B74" s="5">
        <v>790</v>
      </c>
      <c r="C74" s="5" t="str">
        <f t="shared" si="8"/>
        <v>Medium Price</v>
      </c>
      <c r="D74" s="5">
        <v>1485</v>
      </c>
      <c r="E74" s="5">
        <f t="shared" si="9"/>
        <v>695</v>
      </c>
      <c r="F74" s="5" t="str">
        <f t="shared" si="10"/>
        <v>High Discount</v>
      </c>
      <c r="G74" s="1">
        <v>0.47</v>
      </c>
      <c r="I74" t="str">
        <f t="shared" si="11"/>
        <v>Poor</v>
      </c>
      <c r="J74" s="4"/>
    </row>
    <row r="75" spans="1:18" x14ac:dyDescent="0.3">
      <c r="A75" t="s">
        <v>127</v>
      </c>
      <c r="B75" s="5">
        <v>699</v>
      </c>
      <c r="C75" s="5" t="str">
        <f t="shared" si="8"/>
        <v>Medium Price</v>
      </c>
      <c r="D75" s="5">
        <v>1343</v>
      </c>
      <c r="E75" s="5">
        <f t="shared" si="9"/>
        <v>644</v>
      </c>
      <c r="F75" s="5" t="str">
        <f t="shared" si="10"/>
        <v>High Discount</v>
      </c>
      <c r="G75" s="1">
        <v>0.48</v>
      </c>
      <c r="I75" t="str">
        <f t="shared" si="11"/>
        <v>Poor</v>
      </c>
      <c r="J75" s="4"/>
      <c r="O75" t="str" cm="1">
        <f t="array" ref="O75:P84">_xlfn.TAKE(_xlfn.SORTBY(_xlfn.CHOOSECOLS(A2:J101,1,7),G2:G101,-1),10)</f>
        <v>5-PCS Stainless Steel Cooking Pot Set With Steamed Slices</v>
      </c>
      <c r="P75">
        <v>0.55000000000000004</v>
      </c>
    </row>
    <row r="76" spans="1:18" x14ac:dyDescent="0.3">
      <c r="A76" t="s">
        <v>173</v>
      </c>
      <c r="B76" s="5">
        <v>690</v>
      </c>
      <c r="C76" s="5" t="str">
        <f t="shared" si="8"/>
        <v>Medium Price</v>
      </c>
      <c r="D76" s="5">
        <v>1200</v>
      </c>
      <c r="E76" s="5">
        <f t="shared" si="9"/>
        <v>510</v>
      </c>
      <c r="F76" s="5" t="str">
        <f t="shared" si="10"/>
        <v>High Discount</v>
      </c>
      <c r="G76" s="1">
        <v>0.43</v>
      </c>
      <c r="I76" t="str">
        <f t="shared" si="11"/>
        <v>Poor</v>
      </c>
      <c r="J76" s="4"/>
      <c r="O76" t="str">
        <v>LASA FOLDING TABLE SERVING STAND</v>
      </c>
      <c r="P76">
        <v>0.55000000000000004</v>
      </c>
    </row>
    <row r="77" spans="1:18" x14ac:dyDescent="0.3">
      <c r="A77" t="s">
        <v>107</v>
      </c>
      <c r="B77" s="5">
        <v>671</v>
      </c>
      <c r="C77" s="5" t="str">
        <f t="shared" si="8"/>
        <v>Medium Price</v>
      </c>
      <c r="D77" s="5">
        <v>1316</v>
      </c>
      <c r="E77" s="5">
        <f t="shared" si="9"/>
        <v>645</v>
      </c>
      <c r="F77" s="5" t="str">
        <f t="shared" si="10"/>
        <v>High Discount</v>
      </c>
      <c r="G77" s="1">
        <v>0.49</v>
      </c>
      <c r="I77" t="str">
        <f t="shared" si="11"/>
        <v>Poor</v>
      </c>
      <c r="J77" s="4"/>
      <c r="O77" t="str">
        <v>Simple Metal Dog Art Sculpture Decoration For Home Office</v>
      </c>
      <c r="P77">
        <v>0.55000000000000004</v>
      </c>
    </row>
    <row r="78" spans="1:18" x14ac:dyDescent="0.3">
      <c r="A78" t="s">
        <v>128</v>
      </c>
      <c r="B78" s="5">
        <v>657</v>
      </c>
      <c r="C78" s="5" t="str">
        <f t="shared" si="8"/>
        <v>Medium Price</v>
      </c>
      <c r="D78" s="5">
        <v>1288</v>
      </c>
      <c r="E78" s="5">
        <f t="shared" si="9"/>
        <v>631</v>
      </c>
      <c r="F78" s="5" t="str">
        <f t="shared" si="10"/>
        <v>High Discount</v>
      </c>
      <c r="G78" s="1">
        <v>0.49</v>
      </c>
      <c r="I78" t="str">
        <f t="shared" si="11"/>
        <v>Poor</v>
      </c>
      <c r="J78" s="4"/>
      <c r="O78" t="str">
        <v>LASA 3 Tier Bamboo Shoe Bench Storage Shelf</v>
      </c>
      <c r="P78">
        <v>0.54</v>
      </c>
    </row>
    <row r="79" spans="1:18" x14ac:dyDescent="0.3">
      <c r="A79" t="s">
        <v>191</v>
      </c>
      <c r="B79" s="5">
        <v>630</v>
      </c>
      <c r="C79" s="5" t="str">
        <f t="shared" si="8"/>
        <v>Medium Price</v>
      </c>
      <c r="D79" s="5">
        <v>1100</v>
      </c>
      <c r="E79" s="5">
        <f t="shared" si="9"/>
        <v>470</v>
      </c>
      <c r="F79" s="5" t="str">
        <f t="shared" si="10"/>
        <v>High Discount</v>
      </c>
      <c r="G79" s="1">
        <v>0.43</v>
      </c>
      <c r="I79" t="str">
        <f t="shared" si="11"/>
        <v>Poor</v>
      </c>
      <c r="J79" s="4"/>
      <c r="O79" t="str">
        <v>Mythco 120COB Solar Wall Ligt With Motion Sensor And Remote Control 3 Modes</v>
      </c>
      <c r="P79">
        <v>0.54</v>
      </c>
    </row>
    <row r="80" spans="1:18" x14ac:dyDescent="0.3">
      <c r="A80" t="s">
        <v>99</v>
      </c>
      <c r="B80" s="5">
        <v>610</v>
      </c>
      <c r="C80" s="5" t="str">
        <f t="shared" si="8"/>
        <v>Medium Price</v>
      </c>
      <c r="D80" s="5">
        <v>1060</v>
      </c>
      <c r="E80" s="5">
        <f t="shared" si="9"/>
        <v>450</v>
      </c>
      <c r="F80" s="5" t="str">
        <f t="shared" si="10"/>
        <v>High Discount</v>
      </c>
      <c r="G80" s="1">
        <v>0.42</v>
      </c>
      <c r="I80" t="str">
        <f t="shared" si="11"/>
        <v>Poor</v>
      </c>
      <c r="J80" s="4"/>
      <c r="O80" t="str">
        <v>Intelligent  LED Body Sensor Wireless Lighting Night Light USB</v>
      </c>
      <c r="P80">
        <v>0.52</v>
      </c>
    </row>
    <row r="81" spans="1:16" x14ac:dyDescent="0.3">
      <c r="A81" t="s">
        <v>99</v>
      </c>
      <c r="B81" s="5">
        <v>610</v>
      </c>
      <c r="C81" s="5" t="str">
        <f t="shared" si="8"/>
        <v>Medium Price</v>
      </c>
      <c r="D81" s="5">
        <v>1060</v>
      </c>
      <c r="E81" s="5">
        <f t="shared" si="9"/>
        <v>450</v>
      </c>
      <c r="F81" s="5" t="str">
        <f t="shared" si="10"/>
        <v>High Discount</v>
      </c>
      <c r="G81" s="1">
        <v>0.42</v>
      </c>
      <c r="I81" t="str">
        <f t="shared" si="11"/>
        <v>Poor</v>
      </c>
      <c r="J81" s="4"/>
      <c r="O81" t="str">
        <v>Anti-Skid Absorbent Insulation Coaster  For Home Office</v>
      </c>
      <c r="P81">
        <v>0.51</v>
      </c>
    </row>
    <row r="82" spans="1:16" x14ac:dyDescent="0.3">
      <c r="A82" t="s">
        <v>99</v>
      </c>
      <c r="B82" s="5">
        <v>610</v>
      </c>
      <c r="C82" s="5" t="str">
        <f t="shared" si="8"/>
        <v>Medium Price</v>
      </c>
      <c r="D82" s="5">
        <v>1060</v>
      </c>
      <c r="E82" s="5">
        <f t="shared" si="9"/>
        <v>450</v>
      </c>
      <c r="F82" s="5" t="str">
        <f t="shared" si="10"/>
        <v>High Discount</v>
      </c>
      <c r="G82" s="1">
        <v>0.42</v>
      </c>
      <c r="I82" t="str">
        <f t="shared" si="11"/>
        <v>Poor</v>
      </c>
      <c r="J82" s="4"/>
      <c r="O82" t="str">
        <v>2PCS Ice Silk Square Cushion Cover Pillowcases - 65x65cm</v>
      </c>
      <c r="P82">
        <v>0.5</v>
      </c>
    </row>
    <row r="83" spans="1:16" x14ac:dyDescent="0.3">
      <c r="A83" t="s">
        <v>37</v>
      </c>
      <c r="B83" s="5">
        <v>552</v>
      </c>
      <c r="C83" s="5" t="str">
        <f t="shared" si="8"/>
        <v>Medium Price</v>
      </c>
      <c r="D83" s="5">
        <v>1035</v>
      </c>
      <c r="E83" s="5">
        <f t="shared" si="9"/>
        <v>483</v>
      </c>
      <c r="F83" s="5" t="str">
        <f t="shared" si="10"/>
        <v>High Discount</v>
      </c>
      <c r="G83" s="1">
        <v>0.47</v>
      </c>
      <c r="H83">
        <v>12</v>
      </c>
      <c r="I83" t="str">
        <f t="shared" si="11"/>
        <v>Excellent</v>
      </c>
      <c r="J83" s="4">
        <v>4.8</v>
      </c>
      <c r="O83" t="str">
        <v>380ML USB Rechargeable Portable Small Blenders And Juicers</v>
      </c>
      <c r="P83">
        <v>0.5</v>
      </c>
    </row>
    <row r="84" spans="1:16" x14ac:dyDescent="0.3">
      <c r="A84" t="s">
        <v>9</v>
      </c>
      <c r="B84" s="5">
        <v>527</v>
      </c>
      <c r="C84" s="5" t="str">
        <f t="shared" si="8"/>
        <v>Medium Price</v>
      </c>
      <c r="D84" s="5">
        <v>999</v>
      </c>
      <c r="E84" s="5">
        <f t="shared" si="9"/>
        <v>472</v>
      </c>
      <c r="F84" s="5" t="str">
        <f t="shared" si="10"/>
        <v>High Discount</v>
      </c>
      <c r="G84" s="1">
        <v>0.47</v>
      </c>
      <c r="H84">
        <v>14</v>
      </c>
      <c r="I84" t="str">
        <f t="shared" si="11"/>
        <v>Excellent</v>
      </c>
      <c r="J84" s="4">
        <v>4.0999999999999996</v>
      </c>
      <c r="O84" t="str">
        <v>Christmas Elk Fence Yard Lawn Decorations Cute For Holidays</v>
      </c>
      <c r="P84">
        <v>0.5</v>
      </c>
    </row>
    <row r="85" spans="1:16" x14ac:dyDescent="0.3">
      <c r="A85" t="s">
        <v>206</v>
      </c>
      <c r="B85" s="5">
        <v>525</v>
      </c>
      <c r="C85" s="5" t="str">
        <f t="shared" si="8"/>
        <v>Medium Price</v>
      </c>
      <c r="D85" s="5">
        <v>1029</v>
      </c>
      <c r="E85" s="5">
        <f t="shared" si="9"/>
        <v>504</v>
      </c>
      <c r="F85" s="5" t="str">
        <f t="shared" si="10"/>
        <v>High Discount</v>
      </c>
      <c r="G85" s="1">
        <v>0.49</v>
      </c>
      <c r="I85" t="str">
        <f t="shared" si="11"/>
        <v>Poor</v>
      </c>
      <c r="J85" s="4"/>
    </row>
    <row r="86" spans="1:16" x14ac:dyDescent="0.3">
      <c r="A86" t="s">
        <v>166</v>
      </c>
      <c r="B86" s="5">
        <v>509</v>
      </c>
      <c r="C86" s="5" t="str">
        <f t="shared" si="8"/>
        <v>Medium Price</v>
      </c>
      <c r="D86" s="5">
        <v>899</v>
      </c>
      <c r="E86" s="5">
        <f t="shared" si="9"/>
        <v>390</v>
      </c>
      <c r="F86" s="5" t="str">
        <f t="shared" si="10"/>
        <v>High Discount</v>
      </c>
      <c r="G86" s="1">
        <v>0.43</v>
      </c>
      <c r="H86">
        <v>5</v>
      </c>
      <c r="I86" t="str">
        <f t="shared" si="11"/>
        <v>Average</v>
      </c>
      <c r="J86" s="4">
        <v>3</v>
      </c>
    </row>
    <row r="87" spans="1:16" x14ac:dyDescent="0.3">
      <c r="A87" t="s">
        <v>39</v>
      </c>
      <c r="B87" s="5">
        <v>501</v>
      </c>
      <c r="C87" s="5" t="str">
        <f t="shared" si="8"/>
        <v>Medium Price</v>
      </c>
      <c r="D87" s="5">
        <v>860</v>
      </c>
      <c r="E87" s="5">
        <f t="shared" si="9"/>
        <v>359</v>
      </c>
      <c r="F87" s="5" t="str">
        <f t="shared" si="10"/>
        <v>High Discount</v>
      </c>
      <c r="G87" s="1">
        <v>0.42</v>
      </c>
      <c r="H87">
        <v>6</v>
      </c>
      <c r="I87" t="str">
        <f t="shared" si="11"/>
        <v>Excellent</v>
      </c>
      <c r="J87" s="4">
        <v>4.5</v>
      </c>
    </row>
    <row r="88" spans="1:16" x14ac:dyDescent="0.3">
      <c r="A88" t="s">
        <v>125</v>
      </c>
      <c r="B88" s="5">
        <v>499</v>
      </c>
      <c r="C88" s="5" t="str">
        <f t="shared" si="8"/>
        <v>Low Price</v>
      </c>
      <c r="D88" s="5">
        <v>900</v>
      </c>
      <c r="E88" s="5">
        <f t="shared" si="9"/>
        <v>401</v>
      </c>
      <c r="F88" s="5" t="str">
        <f t="shared" si="10"/>
        <v>High Discount</v>
      </c>
      <c r="G88" s="1">
        <v>0.45</v>
      </c>
      <c r="I88" t="str">
        <f t="shared" si="11"/>
        <v>Poor</v>
      </c>
      <c r="J88" s="4"/>
    </row>
    <row r="89" spans="1:16" x14ac:dyDescent="0.3">
      <c r="A89" t="s">
        <v>95</v>
      </c>
      <c r="B89" s="5">
        <v>475</v>
      </c>
      <c r="C89" s="5" t="str">
        <f t="shared" si="8"/>
        <v>Low Price</v>
      </c>
      <c r="D89" s="5">
        <v>931</v>
      </c>
      <c r="E89" s="5">
        <f t="shared" si="9"/>
        <v>456</v>
      </c>
      <c r="F89" s="5" t="str">
        <f t="shared" si="10"/>
        <v>High Discount</v>
      </c>
      <c r="G89" s="1">
        <v>0.49</v>
      </c>
      <c r="I89" t="str">
        <f t="shared" si="11"/>
        <v>Poor</v>
      </c>
      <c r="J89" s="4"/>
    </row>
    <row r="90" spans="1:16" x14ac:dyDescent="0.3">
      <c r="A90" t="s">
        <v>136</v>
      </c>
      <c r="B90" s="5">
        <v>458</v>
      </c>
      <c r="C90" s="5" t="str">
        <f t="shared" si="8"/>
        <v>Low Price</v>
      </c>
      <c r="D90" s="5">
        <v>986</v>
      </c>
      <c r="E90" s="5">
        <f t="shared" si="9"/>
        <v>528</v>
      </c>
      <c r="F90" s="5" t="str">
        <f t="shared" si="10"/>
        <v>High Discount</v>
      </c>
      <c r="G90" s="1">
        <v>0.54</v>
      </c>
      <c r="H90">
        <v>10</v>
      </c>
      <c r="I90" t="str">
        <f t="shared" si="11"/>
        <v>Average</v>
      </c>
      <c r="J90" s="4">
        <v>3</v>
      </c>
    </row>
    <row r="91" spans="1:16" x14ac:dyDescent="0.3">
      <c r="A91" t="s">
        <v>226</v>
      </c>
      <c r="B91" s="5">
        <v>450</v>
      </c>
      <c r="C91" s="5" t="str">
        <f t="shared" si="8"/>
        <v>Low Price</v>
      </c>
      <c r="D91" s="5">
        <v>900</v>
      </c>
      <c r="E91" s="5">
        <f t="shared" si="9"/>
        <v>450</v>
      </c>
      <c r="F91" s="5" t="str">
        <f t="shared" si="10"/>
        <v>High Discount</v>
      </c>
      <c r="G91" s="1">
        <v>0.5</v>
      </c>
      <c r="H91">
        <v>1</v>
      </c>
      <c r="I91" t="str">
        <f t="shared" si="11"/>
        <v>Poor</v>
      </c>
      <c r="J91" s="4">
        <v>2</v>
      </c>
    </row>
    <row r="92" spans="1:16" x14ac:dyDescent="0.3">
      <c r="A92" t="s">
        <v>142</v>
      </c>
      <c r="B92" s="5">
        <v>445</v>
      </c>
      <c r="C92" s="5" t="str">
        <f t="shared" si="8"/>
        <v>Low Price</v>
      </c>
      <c r="D92" s="5">
        <v>873</v>
      </c>
      <c r="E92" s="5">
        <f t="shared" si="9"/>
        <v>428</v>
      </c>
      <c r="F92" s="5" t="str">
        <f t="shared" si="10"/>
        <v>High Discount</v>
      </c>
      <c r="G92" s="1">
        <v>0.49</v>
      </c>
      <c r="H92">
        <v>69</v>
      </c>
      <c r="I92" t="str">
        <f t="shared" si="11"/>
        <v>Poor</v>
      </c>
      <c r="J92" s="4">
        <v>2.8</v>
      </c>
    </row>
    <row r="93" spans="1:16" x14ac:dyDescent="0.3">
      <c r="A93" t="s">
        <v>67</v>
      </c>
      <c r="B93" s="5">
        <v>420</v>
      </c>
      <c r="C93" s="5" t="str">
        <f t="shared" si="8"/>
        <v>Low Price</v>
      </c>
      <c r="D93" s="5">
        <v>647</v>
      </c>
      <c r="E93" s="5">
        <f t="shared" si="9"/>
        <v>227</v>
      </c>
      <c r="F93" s="5" t="str">
        <f t="shared" si="10"/>
        <v>Medium Discount</v>
      </c>
      <c r="G93" s="1">
        <v>0.35</v>
      </c>
      <c r="H93">
        <v>49</v>
      </c>
      <c r="I93" t="str">
        <f t="shared" si="11"/>
        <v>Excellent</v>
      </c>
      <c r="J93" s="4">
        <v>4.5999999999999996</v>
      </c>
    </row>
    <row r="94" spans="1:16" x14ac:dyDescent="0.3">
      <c r="A94" t="s">
        <v>125</v>
      </c>
      <c r="B94" s="5">
        <v>399</v>
      </c>
      <c r="C94" s="5" t="str">
        <f t="shared" si="8"/>
        <v>Low Price</v>
      </c>
      <c r="D94" s="5">
        <v>896</v>
      </c>
      <c r="E94" s="5">
        <f t="shared" si="9"/>
        <v>497</v>
      </c>
      <c r="F94" s="5" t="str">
        <f t="shared" si="10"/>
        <v>High Discount</v>
      </c>
      <c r="G94" s="1">
        <v>0.55000000000000004</v>
      </c>
      <c r="I94" t="str">
        <f t="shared" si="11"/>
        <v>Poor</v>
      </c>
      <c r="J94" s="4"/>
    </row>
    <row r="95" spans="1:16" x14ac:dyDescent="0.3">
      <c r="A95" t="s">
        <v>89</v>
      </c>
      <c r="B95" s="5">
        <v>389</v>
      </c>
      <c r="C95" s="5" t="str">
        <f t="shared" si="8"/>
        <v>Low Price</v>
      </c>
      <c r="D95" s="5">
        <v>656</v>
      </c>
      <c r="E95" s="5">
        <f t="shared" si="9"/>
        <v>267</v>
      </c>
      <c r="F95" s="5" t="str">
        <f t="shared" si="10"/>
        <v>High Discount</v>
      </c>
      <c r="G95" s="1">
        <v>0.41</v>
      </c>
      <c r="H95">
        <v>36</v>
      </c>
      <c r="I95" t="str">
        <f t="shared" si="11"/>
        <v>Excellent</v>
      </c>
      <c r="J95" s="4">
        <v>4.3</v>
      </c>
    </row>
    <row r="96" spans="1:16" x14ac:dyDescent="0.3">
      <c r="A96" t="s">
        <v>158</v>
      </c>
      <c r="B96" s="5">
        <v>382</v>
      </c>
      <c r="C96" s="5" t="str">
        <f t="shared" si="8"/>
        <v>Low Price</v>
      </c>
      <c r="D96" s="5">
        <v>700</v>
      </c>
      <c r="E96" s="5">
        <f t="shared" si="9"/>
        <v>318</v>
      </c>
      <c r="F96" s="5" t="str">
        <f t="shared" si="10"/>
        <v>High Discount</v>
      </c>
      <c r="G96" s="1">
        <v>0.45</v>
      </c>
      <c r="H96">
        <v>17</v>
      </c>
      <c r="I96" t="str">
        <f t="shared" si="11"/>
        <v>Poor</v>
      </c>
      <c r="J96" s="4">
        <v>2.6</v>
      </c>
    </row>
    <row r="97" spans="1:10" x14ac:dyDescent="0.3">
      <c r="A97" t="s">
        <v>163</v>
      </c>
      <c r="B97" s="5">
        <v>345</v>
      </c>
      <c r="C97" s="5" t="str">
        <f t="shared" si="8"/>
        <v>Low Price</v>
      </c>
      <c r="D97" s="5">
        <v>602</v>
      </c>
      <c r="E97" s="5">
        <f t="shared" si="9"/>
        <v>257</v>
      </c>
      <c r="F97" s="5" t="str">
        <f t="shared" si="10"/>
        <v>High Discount</v>
      </c>
      <c r="G97" s="1">
        <v>0.43</v>
      </c>
      <c r="H97">
        <v>6</v>
      </c>
      <c r="I97" t="str">
        <f t="shared" si="11"/>
        <v>Poor</v>
      </c>
      <c r="J97" s="4">
        <v>2.2999999999999998</v>
      </c>
    </row>
    <row r="98" spans="1:10" x14ac:dyDescent="0.3">
      <c r="A98" t="s">
        <v>43</v>
      </c>
      <c r="B98" s="5">
        <v>332</v>
      </c>
      <c r="C98" s="5" t="str">
        <f t="shared" ref="C98:C116" si="12">IF(B98&lt;500,"Low Price",IF(B98&lt;=2000,"Medium Price","High Price"))</f>
        <v>Low Price</v>
      </c>
      <c r="D98" s="5">
        <v>684</v>
      </c>
      <c r="E98" s="5">
        <f t="shared" ref="E98:E116" si="13">D98-B98</f>
        <v>352</v>
      </c>
      <c r="F98" s="5" t="str">
        <f t="shared" ref="F98:F116" si="14">IF(G98&lt;20%,"Low Discount",IF(G98&lt;=40%,"Medium Discount","High Discount"))</f>
        <v>High Discount</v>
      </c>
      <c r="G98" s="1">
        <v>0.51</v>
      </c>
      <c r="H98">
        <v>2</v>
      </c>
      <c r="I98" t="str">
        <f t="shared" ref="I98:I116" si="15">IF(J98&lt;3,"Poor",IF(J98&lt;4,"Average","Excellent"))</f>
        <v>Excellent</v>
      </c>
      <c r="J98" s="4">
        <v>5</v>
      </c>
    </row>
    <row r="99" spans="1:10" x14ac:dyDescent="0.3">
      <c r="A99" t="s">
        <v>184</v>
      </c>
      <c r="B99" s="5">
        <v>330</v>
      </c>
      <c r="C99" s="5" t="str">
        <f t="shared" si="12"/>
        <v>Low Price</v>
      </c>
      <c r="D99" s="5">
        <v>647</v>
      </c>
      <c r="E99" s="5">
        <f t="shared" si="13"/>
        <v>317</v>
      </c>
      <c r="F99" s="5" t="str">
        <f t="shared" si="14"/>
        <v>High Discount</v>
      </c>
      <c r="G99" s="1">
        <v>0.49</v>
      </c>
      <c r="H99">
        <v>1</v>
      </c>
      <c r="I99" t="str">
        <f t="shared" si="15"/>
        <v>Excellent</v>
      </c>
      <c r="J99" s="4">
        <v>4</v>
      </c>
    </row>
    <row r="100" spans="1:10" x14ac:dyDescent="0.3">
      <c r="A100" t="s">
        <v>145</v>
      </c>
      <c r="B100" s="5">
        <v>325</v>
      </c>
      <c r="C100" s="5" t="str">
        <f t="shared" si="12"/>
        <v>Low Price</v>
      </c>
      <c r="D100" s="5">
        <v>680</v>
      </c>
      <c r="E100" s="5">
        <f t="shared" si="13"/>
        <v>355</v>
      </c>
      <c r="F100" s="5" t="str">
        <f t="shared" si="14"/>
        <v>High Discount</v>
      </c>
      <c r="G100" s="1">
        <v>0.52</v>
      </c>
      <c r="H100">
        <v>15</v>
      </c>
      <c r="I100" t="str">
        <f t="shared" si="15"/>
        <v>Poor</v>
      </c>
      <c r="J100" s="4">
        <v>2.7</v>
      </c>
    </row>
    <row r="101" spans="1:10" x14ac:dyDescent="0.3">
      <c r="A101" t="s">
        <v>114</v>
      </c>
      <c r="B101" s="5">
        <v>299</v>
      </c>
      <c r="C101" s="5" t="str">
        <f t="shared" si="12"/>
        <v>Low Price</v>
      </c>
      <c r="D101" s="5">
        <v>600</v>
      </c>
      <c r="E101" s="5">
        <f t="shared" si="13"/>
        <v>301</v>
      </c>
      <c r="F101" s="5" t="str">
        <f t="shared" si="14"/>
        <v>High Discount</v>
      </c>
      <c r="G101" s="1">
        <v>0.5</v>
      </c>
      <c r="I101" t="str">
        <f t="shared" si="15"/>
        <v>Poor</v>
      </c>
      <c r="J101" s="4"/>
    </row>
    <row r="102" spans="1:10" x14ac:dyDescent="0.3">
      <c r="A102" t="s">
        <v>119</v>
      </c>
      <c r="B102" s="5">
        <v>299</v>
      </c>
      <c r="C102" s="5" t="str">
        <f t="shared" si="12"/>
        <v>Low Price</v>
      </c>
      <c r="D102" s="5">
        <v>384</v>
      </c>
      <c r="E102" s="5">
        <f t="shared" si="13"/>
        <v>85</v>
      </c>
      <c r="F102" s="5" t="str">
        <f t="shared" si="14"/>
        <v>Medium Discount</v>
      </c>
      <c r="G102" s="1">
        <v>0.22</v>
      </c>
      <c r="I102" t="str">
        <f t="shared" si="15"/>
        <v>Poor</v>
      </c>
      <c r="J102" s="4"/>
    </row>
    <row r="103" spans="1:10" x14ac:dyDescent="0.3">
      <c r="A103" t="s">
        <v>186</v>
      </c>
      <c r="B103" s="5">
        <v>274</v>
      </c>
      <c r="C103" s="5" t="str">
        <f t="shared" si="12"/>
        <v>Low Price</v>
      </c>
      <c r="D103" s="5">
        <v>537</v>
      </c>
      <c r="E103" s="5">
        <f t="shared" si="13"/>
        <v>263</v>
      </c>
      <c r="F103" s="5" t="str">
        <f t="shared" si="14"/>
        <v>High Discount</v>
      </c>
      <c r="G103" s="1">
        <v>0.49</v>
      </c>
      <c r="I103" t="str">
        <f t="shared" si="15"/>
        <v>Poor</v>
      </c>
      <c r="J103" s="4"/>
    </row>
    <row r="104" spans="1:10" x14ac:dyDescent="0.3">
      <c r="A104" t="s">
        <v>203</v>
      </c>
      <c r="B104" s="5">
        <v>248</v>
      </c>
      <c r="C104" s="5" t="str">
        <f t="shared" si="12"/>
        <v>Low Price</v>
      </c>
      <c r="D104" s="5">
        <v>486</v>
      </c>
      <c r="E104" s="5">
        <f t="shared" si="13"/>
        <v>238</v>
      </c>
      <c r="F104" s="5" t="str">
        <f t="shared" si="14"/>
        <v>High Discount</v>
      </c>
      <c r="G104" s="1">
        <v>0.49</v>
      </c>
      <c r="I104" t="str">
        <f t="shared" si="15"/>
        <v>Poor</v>
      </c>
      <c r="J104" s="4"/>
    </row>
    <row r="105" spans="1:10" x14ac:dyDescent="0.3">
      <c r="A105" t="s">
        <v>97</v>
      </c>
      <c r="B105" s="5">
        <v>238</v>
      </c>
      <c r="C105" s="5" t="str">
        <f t="shared" si="12"/>
        <v>Low Price</v>
      </c>
      <c r="D105" s="5">
        <v>476</v>
      </c>
      <c r="E105" s="5">
        <f t="shared" si="13"/>
        <v>238</v>
      </c>
      <c r="F105" s="5" t="str">
        <f t="shared" si="14"/>
        <v>High Discount</v>
      </c>
      <c r="G105" s="1">
        <v>0.5</v>
      </c>
      <c r="I105" t="str">
        <f t="shared" si="15"/>
        <v>Poor</v>
      </c>
      <c r="J105" s="4"/>
    </row>
    <row r="106" spans="1:10" x14ac:dyDescent="0.3">
      <c r="A106" t="s">
        <v>176</v>
      </c>
      <c r="B106" s="5">
        <v>230</v>
      </c>
      <c r="C106" s="5" t="str">
        <f t="shared" si="12"/>
        <v>Low Price</v>
      </c>
      <c r="D106" s="5">
        <v>450</v>
      </c>
      <c r="E106" s="5">
        <f t="shared" si="13"/>
        <v>220</v>
      </c>
      <c r="F106" s="5" t="str">
        <f t="shared" si="14"/>
        <v>High Discount</v>
      </c>
      <c r="G106" s="1">
        <v>0.49</v>
      </c>
      <c r="I106" t="str">
        <f t="shared" si="15"/>
        <v>Poor</v>
      </c>
      <c r="J106" s="4"/>
    </row>
    <row r="107" spans="1:10" x14ac:dyDescent="0.3">
      <c r="A107" t="s">
        <v>112</v>
      </c>
      <c r="B107" s="5">
        <v>199</v>
      </c>
      <c r="C107" s="5" t="str">
        <f t="shared" si="12"/>
        <v>Low Price</v>
      </c>
      <c r="D107" s="5">
        <v>504</v>
      </c>
      <c r="E107" s="5">
        <f t="shared" si="13"/>
        <v>305</v>
      </c>
      <c r="F107" s="5" t="str">
        <f t="shared" si="14"/>
        <v>High Discount</v>
      </c>
      <c r="G107" s="1">
        <v>0.61</v>
      </c>
      <c r="I107" t="str">
        <f t="shared" si="15"/>
        <v>Poor</v>
      </c>
      <c r="J107" s="4"/>
    </row>
    <row r="108" spans="1:10" x14ac:dyDescent="0.3">
      <c r="A108" t="s">
        <v>224</v>
      </c>
      <c r="B108" s="5">
        <v>199</v>
      </c>
      <c r="C108" s="5" t="str">
        <f t="shared" si="12"/>
        <v>Low Price</v>
      </c>
      <c r="D108" s="5">
        <v>553</v>
      </c>
      <c r="E108" s="5">
        <f t="shared" si="13"/>
        <v>354</v>
      </c>
      <c r="F108" s="5" t="str">
        <f t="shared" si="14"/>
        <v>High Discount</v>
      </c>
      <c r="G108" s="1">
        <v>0.64</v>
      </c>
      <c r="I108" t="str">
        <f t="shared" si="15"/>
        <v>Poor</v>
      </c>
      <c r="J108" s="4"/>
    </row>
    <row r="109" spans="1:10" x14ac:dyDescent="0.3">
      <c r="A109" t="s">
        <v>216</v>
      </c>
      <c r="B109" s="5">
        <v>198</v>
      </c>
      <c r="C109" s="5" t="str">
        <f t="shared" si="12"/>
        <v>Low Price</v>
      </c>
      <c r="D109" s="5">
        <v>260</v>
      </c>
      <c r="E109" s="5">
        <f t="shared" si="13"/>
        <v>62</v>
      </c>
      <c r="F109" s="5" t="str">
        <f t="shared" si="14"/>
        <v>Medium Discount</v>
      </c>
      <c r="G109" s="1">
        <v>0.24</v>
      </c>
      <c r="I109" t="str">
        <f t="shared" si="15"/>
        <v>Poor</v>
      </c>
      <c r="J109" s="4"/>
    </row>
    <row r="110" spans="1:10" x14ac:dyDescent="0.3">
      <c r="A110" t="s">
        <v>46</v>
      </c>
      <c r="B110" s="5">
        <v>195</v>
      </c>
      <c r="C110" s="5" t="str">
        <f t="shared" si="12"/>
        <v>Low Price</v>
      </c>
      <c r="D110" s="5">
        <v>360</v>
      </c>
      <c r="E110" s="5">
        <f t="shared" si="13"/>
        <v>165</v>
      </c>
      <c r="F110" s="5" t="str">
        <f t="shared" si="14"/>
        <v>High Discount</v>
      </c>
      <c r="G110" s="1">
        <v>0.46</v>
      </c>
      <c r="H110">
        <v>2</v>
      </c>
      <c r="I110" t="str">
        <f t="shared" si="15"/>
        <v>Excellent</v>
      </c>
      <c r="J110" s="4">
        <v>5</v>
      </c>
    </row>
    <row r="111" spans="1:10" x14ac:dyDescent="0.3">
      <c r="A111" t="s">
        <v>76</v>
      </c>
      <c r="B111" s="5">
        <v>185</v>
      </c>
      <c r="C111" s="5" t="str">
        <f t="shared" si="12"/>
        <v>Low Price</v>
      </c>
      <c r="D111" s="5">
        <v>382</v>
      </c>
      <c r="E111" s="5">
        <f t="shared" si="13"/>
        <v>197</v>
      </c>
      <c r="F111" s="5" t="str">
        <f t="shared" si="14"/>
        <v>High Discount</v>
      </c>
      <c r="G111" s="1">
        <v>0.52</v>
      </c>
      <c r="H111">
        <v>9</v>
      </c>
      <c r="I111" t="str">
        <f t="shared" si="15"/>
        <v>Excellent</v>
      </c>
      <c r="J111" s="4">
        <v>4.3</v>
      </c>
    </row>
    <row r="112" spans="1:10" x14ac:dyDescent="0.3">
      <c r="A112" t="s">
        <v>112</v>
      </c>
      <c r="B112" s="5">
        <v>176</v>
      </c>
      <c r="C112" s="5" t="str">
        <f t="shared" si="12"/>
        <v>Low Price</v>
      </c>
      <c r="D112" s="5">
        <v>345</v>
      </c>
      <c r="E112" s="5">
        <f t="shared" si="13"/>
        <v>169</v>
      </c>
      <c r="F112" s="5" t="str">
        <f t="shared" si="14"/>
        <v>High Discount</v>
      </c>
      <c r="G112" s="1">
        <v>0.49</v>
      </c>
      <c r="I112" t="str">
        <f t="shared" si="15"/>
        <v>Poor</v>
      </c>
      <c r="J112" s="4"/>
    </row>
    <row r="113" spans="1:10" x14ac:dyDescent="0.3">
      <c r="A113" t="s">
        <v>88</v>
      </c>
      <c r="B113" s="5">
        <v>171</v>
      </c>
      <c r="C113" s="5" t="str">
        <f t="shared" si="12"/>
        <v>Low Price</v>
      </c>
      <c r="D113" s="5">
        <v>360</v>
      </c>
      <c r="E113" s="5">
        <f t="shared" si="13"/>
        <v>189</v>
      </c>
      <c r="F113" s="5" t="str">
        <f t="shared" si="14"/>
        <v>High Discount</v>
      </c>
      <c r="G113" s="1">
        <v>0.53</v>
      </c>
      <c r="H113">
        <v>2</v>
      </c>
      <c r="I113" t="str">
        <f t="shared" si="15"/>
        <v>Excellent</v>
      </c>
      <c r="J113" s="4">
        <v>5</v>
      </c>
    </row>
    <row r="114" spans="1:10" x14ac:dyDescent="0.3">
      <c r="A114" t="s">
        <v>228</v>
      </c>
      <c r="B114" s="5">
        <v>169</v>
      </c>
      <c r="C114" s="5" t="str">
        <f t="shared" si="12"/>
        <v>Low Price</v>
      </c>
      <c r="D114" s="5">
        <v>320</v>
      </c>
      <c r="E114" s="5">
        <f t="shared" si="13"/>
        <v>151</v>
      </c>
      <c r="F114" s="5" t="str">
        <f t="shared" si="14"/>
        <v>High Discount</v>
      </c>
      <c r="G114" s="1">
        <v>0.47</v>
      </c>
      <c r="I114" t="str">
        <f t="shared" si="15"/>
        <v>Poor</v>
      </c>
      <c r="J114" s="4"/>
    </row>
    <row r="115" spans="1:10" x14ac:dyDescent="0.3">
      <c r="A115" t="s">
        <v>196</v>
      </c>
      <c r="B115" s="5">
        <v>105</v>
      </c>
      <c r="C115" s="5" t="str">
        <f t="shared" si="12"/>
        <v>Low Price</v>
      </c>
      <c r="D115" s="5">
        <v>200</v>
      </c>
      <c r="E115" s="5">
        <f t="shared" si="13"/>
        <v>95</v>
      </c>
      <c r="F115" s="5" t="str">
        <f t="shared" si="14"/>
        <v>High Discount</v>
      </c>
      <c r="G115" s="1">
        <v>0.48</v>
      </c>
      <c r="I115" t="str">
        <f t="shared" si="15"/>
        <v>Poor</v>
      </c>
      <c r="J115" s="4"/>
    </row>
    <row r="116" spans="1:10" x14ac:dyDescent="0.3">
      <c r="A116" t="s">
        <v>54</v>
      </c>
      <c r="B116" s="5">
        <v>38</v>
      </c>
      <c r="C116" s="5" t="str">
        <f t="shared" si="12"/>
        <v>Low Price</v>
      </c>
      <c r="D116" s="5">
        <v>80</v>
      </c>
      <c r="E116" s="5">
        <f t="shared" si="13"/>
        <v>42</v>
      </c>
      <c r="F116" s="5" t="str">
        <f t="shared" si="14"/>
        <v>High Discount</v>
      </c>
      <c r="G116" s="1">
        <v>0.53</v>
      </c>
      <c r="H116">
        <v>13</v>
      </c>
      <c r="I116" t="str">
        <f t="shared" si="15"/>
        <v>Average</v>
      </c>
      <c r="J116" s="4">
        <v>3.3</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158C-564D-485D-9704-AAE1B7077445}">
  <dimension ref="A2:J85"/>
  <sheetViews>
    <sheetView workbookViewId="0">
      <selection activeCell="F65" sqref="D65:F65"/>
    </sheetView>
  </sheetViews>
  <sheetFormatPr defaultRowHeight="14.4" x14ac:dyDescent="0.3"/>
  <cols>
    <col min="1" max="1" width="65.5546875" bestFit="1" customWidth="1"/>
    <col min="2" max="2" width="9.6640625" style="14" bestFit="1" customWidth="1"/>
    <col min="3" max="3" width="43.21875" bestFit="1" customWidth="1"/>
    <col min="4" max="4" width="70" customWidth="1"/>
    <col min="5" max="5" width="10.33203125" customWidth="1"/>
    <col min="7" max="7" width="62.77734375" bestFit="1" customWidth="1"/>
    <col min="8" max="8" width="10" bestFit="1" customWidth="1"/>
  </cols>
  <sheetData>
    <row r="2" spans="1:10" x14ac:dyDescent="0.3">
      <c r="C2" s="18" t="s">
        <v>252</v>
      </c>
      <c r="D2" s="15" t="s">
        <v>255</v>
      </c>
      <c r="E2" s="3"/>
      <c r="F2" s="3"/>
      <c r="G2" s="15" t="s">
        <v>258</v>
      </c>
      <c r="H2" s="15"/>
      <c r="I2" s="19"/>
      <c r="J2" s="19"/>
    </row>
    <row r="4" spans="1:10" x14ac:dyDescent="0.3">
      <c r="A4" s="16" t="s">
        <v>253</v>
      </c>
      <c r="B4" s="17" t="s">
        <v>254</v>
      </c>
      <c r="D4" s="16" t="s">
        <v>256</v>
      </c>
      <c r="E4" s="16" t="s">
        <v>257</v>
      </c>
      <c r="G4" s="16" t="s">
        <v>256</v>
      </c>
      <c r="H4" s="16" t="s">
        <v>259</v>
      </c>
    </row>
    <row r="5" spans="1:10" x14ac:dyDescent="0.3">
      <c r="A5" t="str" cm="1">
        <f t="array" ref="A5:B14">_xlfn.TAKE(_xlfn.SORTBY(CHOOSE({1,2},Table1[Product],Table1[Discount]),Table1[Discount],-1),10)</f>
        <v>6 In 1 Bottle Can Opener Multifunctional Easy Opener</v>
      </c>
      <c r="B5" s="14">
        <v>0.64</v>
      </c>
      <c r="D5" t="str" cm="1">
        <f t="array" ref="D5:E14">_xlfn.TAKE(_xlfn.SORTBY(_xlfn._xlws.FILTER(CHOOSE({1,2},Table1[Product],Table1[Review]),ISNUMBER(Table1[Review])),_xlfn._xlws.FILTER(Table1[Review],ISNUMBER(Table1[Review])),-1),10)</f>
        <v>120W Cordless Vacuum Cleaners Handheld Electric Vacuum Cleaner</v>
      </c>
      <c r="E5">
        <v>69</v>
      </c>
      <c r="G5" t="str" cm="1">
        <f t="array" ref="G5:H14">_xlfn.TAKE(_xlfn.SORTBY(_xlfn._xlws.FILTER(CHOOSE({1,2},Table1[Product],Table1[Rating]),ISNUMBER(Table1[Rating])),_xlfn._xlws.FILTER(Table1[Rating],ISNUMBER(Table1[Rating])),-1),10)</f>
        <v>Konka Healty Electric Kettle, 24-hour Heat Preservation,1.5L,800W, White</v>
      </c>
      <c r="H5">
        <v>5</v>
      </c>
    </row>
    <row r="6" spans="1:10" x14ac:dyDescent="0.3">
      <c r="A6" t="str">
        <v>Creative Owl Shape Keychain Black</v>
      </c>
      <c r="B6" s="14">
        <v>0.61</v>
      </c>
      <c r="D6" t="str">
        <v>137 Pieces Cake Decorating Tool Set Baking Supplies</v>
      </c>
      <c r="E6">
        <v>55</v>
      </c>
      <c r="G6" t="str">
        <v>LASA Aluminum Folding Truck Hand Cart - 68kg Max</v>
      </c>
      <c r="H6">
        <v>5</v>
      </c>
    </row>
    <row r="7" spans="1:10" x14ac:dyDescent="0.3">
      <c r="A7" t="str">
        <v>5-PCS Stainless Steel Cooking Pot Set With Steamed Slices</v>
      </c>
      <c r="B7" s="14">
        <v>0.55000000000000004</v>
      </c>
      <c r="D7" t="str">
        <v>Electronic Digital Display Vernier Caliper</v>
      </c>
      <c r="E7">
        <v>49</v>
      </c>
      <c r="G7" t="str">
        <v>DIY File Folder, Office Drawer File Holder, Pen Holder, Desktop Storage Rack</v>
      </c>
      <c r="H7">
        <v>5</v>
      </c>
    </row>
    <row r="8" spans="1:10" x14ac:dyDescent="0.3">
      <c r="A8" t="str">
        <v>LASA FOLDING TABLE SERVING STAND</v>
      </c>
      <c r="B8" s="14">
        <v>0.55000000000000004</v>
      </c>
      <c r="D8" t="str">
        <v>3D Waterproof EVA Plastic Shower Curtain 1.8*2Mtrs</v>
      </c>
      <c r="E8">
        <v>44</v>
      </c>
      <c r="G8" t="str">
        <v>Bedroom Simple Floor Hanging Clothes Rack Single Pole Hat Rack - White</v>
      </c>
      <c r="H8">
        <v>5</v>
      </c>
    </row>
    <row r="9" spans="1:10" x14ac:dyDescent="0.3">
      <c r="A9" t="str">
        <v>Simple Metal Dog Art Sculpture Decoration For Home Office</v>
      </c>
      <c r="B9" s="14">
        <v>0.55000000000000004</v>
      </c>
      <c r="D9" t="str">
        <v>100 Pcs Crochet Hook Tool Set Knitting Hook Set With Box</v>
      </c>
      <c r="E9">
        <v>39</v>
      </c>
      <c r="G9" t="str">
        <v>Anti-Skid Absorbent Insulation Coaster  For Home Office</v>
      </c>
      <c r="H9">
        <v>5</v>
      </c>
    </row>
    <row r="10" spans="1:10" x14ac:dyDescent="0.3">
      <c r="A10" t="str">
        <v>LASA 3 Tier Bamboo Shoe Bench Storage Shelf</v>
      </c>
      <c r="B10" s="14">
        <v>0.54</v>
      </c>
      <c r="D10" t="str">
        <v>Punch-free Great Load Bearing Bathroom Storage Rack Wall Shelf-White</v>
      </c>
      <c r="E10">
        <v>36</v>
      </c>
      <c r="G10" t="str">
        <v>Peacock  Throw Pillow Cushion Case For Home Car</v>
      </c>
      <c r="H10">
        <v>5</v>
      </c>
    </row>
    <row r="11" spans="1:10" x14ac:dyDescent="0.3">
      <c r="A11" t="str">
        <v>Mythco 120COB Solar Wall Ligt With Motion Sensor And Remote Control 3 Modes</v>
      </c>
      <c r="B11" s="14">
        <v>0.54</v>
      </c>
      <c r="D11" t="str">
        <v>53 Pieces/Set Yarn Knitting Crochet Hooks With Bag - Pansies</v>
      </c>
      <c r="E11">
        <v>32</v>
      </c>
      <c r="G11" t="str">
        <v>Classic Black Cat Cotton Hemp Pillow Case For Home Car</v>
      </c>
      <c r="H11">
        <v>5</v>
      </c>
    </row>
    <row r="12" spans="1:10" x14ac:dyDescent="0.3">
      <c r="A12" t="str">
        <v>Classic Black Cat Cotton Hemp Pillow Case For Home Car</v>
      </c>
      <c r="B12" s="14">
        <v>0.53</v>
      </c>
      <c r="D12" t="str">
        <v>Portable Mini Cordless Car Vacuum Cleaner - Blue</v>
      </c>
      <c r="E12">
        <v>24</v>
      </c>
      <c r="G12" t="str">
        <v>Portable Home Small Air Humidifier 3-Speed Fan - Green</v>
      </c>
      <c r="H12">
        <v>4.8</v>
      </c>
    </row>
    <row r="13" spans="1:10" x14ac:dyDescent="0.3">
      <c r="A13" t="str">
        <v>3PCS Single Head Knitting Crochet Sweater Needle Set</v>
      </c>
      <c r="B13" s="14">
        <v>0.53</v>
      </c>
      <c r="D13" t="str">
        <v>53Pcs/Set Yarn Knitting Crochet Hooks With Bag - Fortune Cat</v>
      </c>
      <c r="E13">
        <v>20</v>
      </c>
      <c r="G13" t="str">
        <v>LASA FOLDING TABLE SERVING STAND</v>
      </c>
      <c r="H13">
        <v>4.8</v>
      </c>
    </row>
    <row r="14" spans="1:10" x14ac:dyDescent="0.3">
      <c r="A14" t="str">
        <v>Intelligent  LED Body Sensor Wireless Lighting Night Light USB</v>
      </c>
      <c r="B14" s="14">
        <v>0.52</v>
      </c>
      <c r="D14" t="str">
        <v>52 Pieces Cake Decorating Tool Set Gift Kit Baking Supplies</v>
      </c>
      <c r="E14">
        <v>20</v>
      </c>
      <c r="G14" t="str">
        <v>40cm Gold DIY Acrylic Wall Sticker Clock</v>
      </c>
      <c r="H14">
        <v>4.8</v>
      </c>
    </row>
    <row r="17" spans="1:6" x14ac:dyDescent="0.3">
      <c r="A17" s="15" t="s">
        <v>260</v>
      </c>
      <c r="D17" s="15" t="s">
        <v>261</v>
      </c>
    </row>
    <row r="19" spans="1:6" x14ac:dyDescent="0.3">
      <c r="A19" s="16" t="s">
        <v>256</v>
      </c>
      <c r="B19" s="17" t="s">
        <v>254</v>
      </c>
      <c r="C19" s="16" t="s">
        <v>259</v>
      </c>
      <c r="D19" s="16" t="s">
        <v>256</v>
      </c>
      <c r="E19" s="16" t="s">
        <v>262</v>
      </c>
      <c r="F19" s="16" t="s">
        <v>259</v>
      </c>
    </row>
    <row r="20" spans="1:6" x14ac:dyDescent="0.3">
      <c r="A20" t="str" cm="1">
        <f t="array" ref="A20:C29">_xlfn._xlws.FILTER(CHOOSE({1,2,3},Table1[Product],Table1[Discount],Table1[Rating]),(Table1[Discount]&gt;40%)*ISNUMBER(Table1[Rating])*(Table1[Rating]&lt;3),"No matching products")</f>
        <v>5-PCS Stainless Steel Cooking Pot Set With Steamed Slices</v>
      </c>
      <c r="B20" s="14">
        <v>0.55000000000000004</v>
      </c>
      <c r="C20">
        <v>2.1</v>
      </c>
      <c r="D20" t="str" cm="1">
        <f t="array" ref="D20:F38">_xlfn.SORTBY(_xlfn._xlws.FILTER(CHOOSE({1,2,3},Table1[Product],Table1[Review],Table1[Rating]),ISNUMBER(Table1[Review])*(Table1[Review]&gt;AVERAGE(Table1[Review]))),_xlfn._xlws.FILTER(Table1[Review],ISNUMBER(Table1[Review])*(Table1[Review]&gt;AVERAGE(Table1[Review]))),-1)</f>
        <v>120W Cordless Vacuum Cleaners Handheld Electric Vacuum Cleaner</v>
      </c>
      <c r="E20">
        <v>69</v>
      </c>
      <c r="F20">
        <v>2.8</v>
      </c>
    </row>
    <row r="21" spans="1:6" x14ac:dyDescent="0.3">
      <c r="A21" t="str">
        <v>Electric LED UV Mosquito Killer Lamp, Outdoor/Indoor Fly Killer Trap Light -USB</v>
      </c>
      <c r="B21" s="14">
        <v>0.47</v>
      </c>
      <c r="C21">
        <v>2.1</v>
      </c>
      <c r="D21" t="str">
        <v>137 Pieces Cake Decorating Tool Set Baking Supplies</v>
      </c>
      <c r="E21">
        <v>55</v>
      </c>
      <c r="F21">
        <v>4.5999999999999996</v>
      </c>
    </row>
    <row r="22" spans="1:6" x14ac:dyDescent="0.3">
      <c r="A22" t="str">
        <v>380ML USB Rechargeable Portable Small Blenders And Juicers</v>
      </c>
      <c r="B22" s="14">
        <v>0.5</v>
      </c>
      <c r="C22">
        <v>2.2999999999999998</v>
      </c>
      <c r="D22" t="str">
        <v>Electronic Digital Display Vernier Caliper</v>
      </c>
      <c r="E22">
        <v>49</v>
      </c>
      <c r="F22">
        <v>4.5999999999999996</v>
      </c>
    </row>
    <row r="23" spans="1:6" x14ac:dyDescent="0.3">
      <c r="A23" t="str">
        <v>Artificial Potted Flowers Room Decorative Flowers (2 Pieces)</v>
      </c>
      <c r="B23" s="14">
        <v>0.45</v>
      </c>
      <c r="C23">
        <v>2.2000000000000002</v>
      </c>
      <c r="D23" t="str">
        <v>3D Waterproof EVA Plastic Shower Curtain 1.8*2Mtrs</v>
      </c>
      <c r="E23">
        <v>44</v>
      </c>
      <c r="F23">
        <v>4.5999999999999996</v>
      </c>
    </row>
    <row r="24" spans="1:6" x14ac:dyDescent="0.3">
      <c r="A24" t="str">
        <v>7-piece Set Of Storage Bags, Travel Storage Bags, Shoe Bags</v>
      </c>
      <c r="B24" s="14">
        <v>0.47</v>
      </c>
      <c r="C24">
        <v>2.2000000000000002</v>
      </c>
      <c r="D24" t="str">
        <v>100 Pcs Crochet Hook Tool Set Knitting Hook Set With Box</v>
      </c>
      <c r="E24">
        <v>39</v>
      </c>
      <c r="F24">
        <v>4.7</v>
      </c>
    </row>
    <row r="25" spans="1:6" x14ac:dyDescent="0.3">
      <c r="A25" t="str">
        <v>Wall-mounted Sticker Punch-free Plug Fixer</v>
      </c>
      <c r="B25" s="14">
        <v>0.5</v>
      </c>
      <c r="C25">
        <v>2</v>
      </c>
      <c r="D25" t="str">
        <v>Punch-free Great Load Bearing Bathroom Storage Rack Wall Shelf-White</v>
      </c>
      <c r="E25">
        <v>36</v>
      </c>
      <c r="F25">
        <v>4.3</v>
      </c>
    </row>
    <row r="26" spans="1:6" x14ac:dyDescent="0.3">
      <c r="A26" t="str">
        <v>120W Cordless Vacuum Cleaners Handheld Electric Vacuum Cleaner</v>
      </c>
      <c r="B26" s="14">
        <v>0.49</v>
      </c>
      <c r="C26">
        <v>2.8</v>
      </c>
      <c r="D26" t="str">
        <v>53 Pieces/Set Yarn Knitting Crochet Hooks With Bag - Pansies</v>
      </c>
      <c r="E26">
        <v>32</v>
      </c>
      <c r="F26">
        <v>4.5</v>
      </c>
    </row>
    <row r="27" spans="1:6" x14ac:dyDescent="0.3">
      <c r="A27" t="str">
        <v>Agapeon Toothbrush Holder And Toothpaste Dispenser</v>
      </c>
      <c r="B27" s="14">
        <v>0.45</v>
      </c>
      <c r="C27">
        <v>2.6</v>
      </c>
      <c r="D27" t="str">
        <v>Portable Mini Cordless Car Vacuum Cleaner - Blue</v>
      </c>
      <c r="E27">
        <v>24</v>
      </c>
      <c r="F27">
        <v>4.5999999999999996</v>
      </c>
    </row>
    <row r="28" spans="1:6" x14ac:dyDescent="0.3">
      <c r="A28" t="str">
        <v>Watercolour Gold Foil Textured Print Pillow Cover</v>
      </c>
      <c r="B28" s="14">
        <v>0.43</v>
      </c>
      <c r="C28">
        <v>2.2999999999999998</v>
      </c>
      <c r="D28" t="str">
        <v>53Pcs/Set Yarn Knitting Crochet Hooks With Bag - Fortune Cat</v>
      </c>
      <c r="E28">
        <v>20</v>
      </c>
      <c r="F28">
        <v>4.7</v>
      </c>
    </row>
    <row r="29" spans="1:6" x14ac:dyDescent="0.3">
      <c r="A29" t="str">
        <v>Intelligent  LED Body Sensor Wireless Lighting Night Light USB</v>
      </c>
      <c r="B29" s="14">
        <v>0.52</v>
      </c>
      <c r="C29">
        <v>2.7</v>
      </c>
      <c r="D29" t="str">
        <v>52 Pieces Cake Decorating Tool Set Gift Kit Baking Supplies</v>
      </c>
      <c r="E29">
        <v>20</v>
      </c>
      <c r="F29">
        <v>4.0999999999999996</v>
      </c>
    </row>
    <row r="30" spans="1:6" x14ac:dyDescent="0.3">
      <c r="D30" t="str">
        <v>Agapeon Toothbrush Holder And Toothpaste Dispenser</v>
      </c>
      <c r="E30">
        <v>17</v>
      </c>
      <c r="F30">
        <v>2.6</v>
      </c>
    </row>
    <row r="31" spans="1:6" x14ac:dyDescent="0.3">
      <c r="D31" t="str">
        <v>VIC Wireless Vacuum Cleaner Dual Use For Home And Car 120W High Power Powerful</v>
      </c>
      <c r="E31">
        <v>16</v>
      </c>
      <c r="F31">
        <v>2.9</v>
      </c>
    </row>
    <row r="32" spans="1:6" x14ac:dyDescent="0.3">
      <c r="D32" t="str">
        <v>220V 60W Electric Soldering Iron Kits With Tools, Tips, And Multimeter</v>
      </c>
      <c r="E32">
        <v>15</v>
      </c>
      <c r="F32">
        <v>4</v>
      </c>
    </row>
    <row r="33" spans="1:7" x14ac:dyDescent="0.3">
      <c r="D33" t="str">
        <v>Intelligent  LED Body Sensor Wireless Lighting Night Light USB</v>
      </c>
      <c r="E33">
        <v>15</v>
      </c>
      <c r="F33">
        <v>2.7</v>
      </c>
    </row>
    <row r="34" spans="1:7" x14ac:dyDescent="0.3">
      <c r="D34" t="str">
        <v>Foldable Overbed Table/Desk</v>
      </c>
      <c r="E34">
        <v>14</v>
      </c>
      <c r="F34">
        <v>4.4000000000000004</v>
      </c>
    </row>
    <row r="35" spans="1:7" x14ac:dyDescent="0.3">
      <c r="D35" t="str">
        <v>Metal Decorative Hooks Key Hangers Entryway Wall Hooks Towel Hooks - Home</v>
      </c>
      <c r="E35">
        <v>14</v>
      </c>
      <c r="F35">
        <v>4.0999999999999996</v>
      </c>
    </row>
    <row r="36" spans="1:7" x14ac:dyDescent="0.3">
      <c r="D36" t="str">
        <v>5-PCS Stainless Steel Cooking Pot Set With Steamed Slices</v>
      </c>
      <c r="E36">
        <v>13</v>
      </c>
      <c r="F36">
        <v>2.1</v>
      </c>
    </row>
    <row r="37" spans="1:7" x14ac:dyDescent="0.3">
      <c r="D37" t="str">
        <v>12 Litre Black Insulated Lunch Box</v>
      </c>
      <c r="E37">
        <v>13</v>
      </c>
      <c r="F37">
        <v>3.8</v>
      </c>
    </row>
    <row r="38" spans="1:7" x14ac:dyDescent="0.3">
      <c r="D38" t="str">
        <v>3PCS Single Head Knitting Crochet Sweater Needle Set</v>
      </c>
      <c r="E38">
        <v>13</v>
      </c>
      <c r="F38">
        <v>3.3</v>
      </c>
    </row>
    <row r="41" spans="1:7" x14ac:dyDescent="0.3">
      <c r="A41" s="15" t="s">
        <v>263</v>
      </c>
      <c r="D41" s="15" t="s">
        <v>266</v>
      </c>
      <c r="G41" s="15" t="s">
        <v>268</v>
      </c>
    </row>
    <row r="43" spans="1:7" x14ac:dyDescent="0.3">
      <c r="A43" s="16" t="s">
        <v>264</v>
      </c>
      <c r="B43" s="17"/>
      <c r="C43" s="16"/>
      <c r="D43" s="16"/>
      <c r="E43" s="16"/>
      <c r="F43" s="16"/>
      <c r="G43" s="16"/>
    </row>
    <row r="44" spans="1:7" x14ac:dyDescent="0.3">
      <c r="A44" s="2" cm="1">
        <f t="array" ref="A44">CORREL(_xlfn._xlws.FILTER(Table1[Discount],ISNUMBER(Table1[Review])),_xlfn._xlws.FILTER(Table1[Review],ISNUMBER(Table1[Review])))</f>
        <v>-0.13682272428088291</v>
      </c>
      <c r="D44" s="2" cm="1">
        <f t="array" ref="D44">CORREL(_xlfn._xlws.FILTER(Table1[Rating],ISNUMBER(Table1[Rating])*ISNUMBER(Table1[Review])),_xlfn._xlws.FILTER(Table1[Review],ISNUMBER(Table1[Rating])*ISNUMBER(Table1[Review])))</f>
        <v>5.720903511987644E-2</v>
      </c>
      <c r="G44" s="2" cm="1">
        <f t="array" ref="G44">CORREL(_xlfn._xlws.FILTER(Table1[Current price],ISNUMBER(Table1[Rating])),_xlfn._xlws.FILTER(Table1[Rating],ISNUMBER(Table1[Rating])))</f>
        <v>0.11009021272510708</v>
      </c>
    </row>
    <row r="45" spans="1:7" x14ac:dyDescent="0.3">
      <c r="A45" t="s">
        <v>265</v>
      </c>
      <c r="D45" t="s">
        <v>267</v>
      </c>
      <c r="G45" t="s">
        <v>269</v>
      </c>
    </row>
    <row r="48" spans="1:7" x14ac:dyDescent="0.3">
      <c r="A48" s="15" t="s">
        <v>270</v>
      </c>
      <c r="D48" s="15" t="s">
        <v>271</v>
      </c>
    </row>
    <row r="50" spans="1:10" x14ac:dyDescent="0.3">
      <c r="A50" s="16" t="s">
        <v>256</v>
      </c>
      <c r="B50" s="17" t="s">
        <v>259</v>
      </c>
      <c r="C50" s="16"/>
      <c r="D50" s="16" t="s">
        <v>253</v>
      </c>
      <c r="E50" s="16" t="s">
        <v>259</v>
      </c>
    </row>
    <row r="51" spans="1:10" x14ac:dyDescent="0.3">
      <c r="A51" t="str" cm="1">
        <f t="array" ref="A51:B55">_xlfn.TAKE(_xlfn.SORTBY(_xlfn._xlws.FILTER(CHOOSE({1,2},Table1[Product],Table1[Rating]),ISNUMBER(Table1[Rating])),_xlfn._xlws.FILTER(Table1[Rating],ISNUMBER(Table1[Rating])),-1),5)</f>
        <v>Konka Healty Electric Kettle, 24-hour Heat Preservation,1.5L,800W, White</v>
      </c>
      <c r="B51" s="20">
        <v>5</v>
      </c>
      <c r="D51" t="str" cm="1">
        <f t="array" ref="D51:E55">_xlfn.TAKE(_xlfn.SORTBY(_xlfn._xlws.FILTER(CHOOSE({1,2},Table1[Product],Table1[Rating]),ISNUMBER(Table1[Rating])),_xlfn._xlws.FILTER(Table1[Rating],ISNUMBER(Table1[Rating])),1),5)</f>
        <v>Wall-mounted Sticker Punch-free Plug Fixer</v>
      </c>
      <c r="E51" s="4">
        <v>2</v>
      </c>
    </row>
    <row r="52" spans="1:10" x14ac:dyDescent="0.3">
      <c r="A52" t="str">
        <v>LASA Aluminum Folding Truck Hand Cart - 68kg Max</v>
      </c>
      <c r="B52" s="20">
        <v>5</v>
      </c>
      <c r="D52" t="str">
        <v>5-PCS Stainless Steel Cooking Pot Set With Steamed Slices</v>
      </c>
      <c r="E52" s="4">
        <v>2.1</v>
      </c>
    </row>
    <row r="53" spans="1:10" x14ac:dyDescent="0.3">
      <c r="A53" t="str">
        <v>DIY File Folder, Office Drawer File Holder, Pen Holder, Desktop Storage Rack</v>
      </c>
      <c r="B53" s="20">
        <v>5</v>
      </c>
      <c r="D53" t="str">
        <v>Electric LED UV Mosquito Killer Lamp, Outdoor/Indoor Fly Killer Trap Light -USB</v>
      </c>
      <c r="E53" s="4">
        <v>2.1</v>
      </c>
    </row>
    <row r="54" spans="1:10" x14ac:dyDescent="0.3">
      <c r="A54" t="str">
        <v>Bedroom Simple Floor Hanging Clothes Rack Single Pole Hat Rack - White</v>
      </c>
      <c r="B54" s="20">
        <v>5</v>
      </c>
      <c r="D54" t="str">
        <v>Artificial Potted Flowers Room Decorative Flowers (2 Pieces)</v>
      </c>
      <c r="E54" s="4">
        <v>2.2000000000000002</v>
      </c>
    </row>
    <row r="55" spans="1:10" x14ac:dyDescent="0.3">
      <c r="A55" t="str">
        <v>Anti-Skid Absorbent Insulation Coaster  For Home Office</v>
      </c>
      <c r="B55" s="20">
        <v>5</v>
      </c>
      <c r="D55" t="str">
        <v>7-piece Set Of Storage Bags, Travel Storage Bags, Shoe Bags</v>
      </c>
      <c r="E55" s="4">
        <v>2.2000000000000002</v>
      </c>
    </row>
    <row r="59" spans="1:10" x14ac:dyDescent="0.3">
      <c r="A59" s="3" t="s">
        <v>272</v>
      </c>
      <c r="D59" s="3" t="s">
        <v>273</v>
      </c>
      <c r="G59" s="3" t="s">
        <v>276</v>
      </c>
    </row>
    <row r="61" spans="1:10" x14ac:dyDescent="0.3">
      <c r="A61" t="s">
        <v>256</v>
      </c>
      <c r="B61" s="14" t="s">
        <v>257</v>
      </c>
      <c r="C61" t="s">
        <v>259</v>
      </c>
      <c r="D61" t="s">
        <v>256</v>
      </c>
      <c r="E61" t="s">
        <v>274</v>
      </c>
      <c r="F61" t="s">
        <v>275</v>
      </c>
      <c r="G61" t="s">
        <v>256</v>
      </c>
      <c r="H61" s="1" t="s">
        <v>274</v>
      </c>
      <c r="I61" t="s">
        <v>277</v>
      </c>
      <c r="J61" t="s">
        <v>278</v>
      </c>
    </row>
    <row r="62" spans="1:10" x14ac:dyDescent="0.3">
      <c r="A62" t="str" cm="1">
        <f t="array" ref="A62:C63">_xlfn.SORTBY(_xlfn._xlws.FILTER(CHOOSE({1,2,3},Table1[Product],Table1[Review],Table1[Rating]),ISNUMBER(Table1[Review])*ISNUMBER(Table1[Rating])*(Table1[Review]&gt;AVERAGE(Table1[Review]))*(Table1[Rating]&gt;=3)*(Table1[Rating]&lt;4)),_xlfn._xlws.FILTER(Table1[Review],ISNUMBER(Table1[Review])*ISNUMBER(Table1[Rating])*(Table1[Review]&gt;AVERAGE(Table1[Review]))*(Table1[Rating]&gt;=3)*(Table1[Rating]&lt;4)),-1)</f>
        <v>12 Litre Black Insulated Lunch Box</v>
      </c>
      <c r="B62" s="21">
        <v>13</v>
      </c>
      <c r="C62">
        <v>3.8</v>
      </c>
      <c r="D62" t="str" cm="1">
        <f t="array" ref="D62:F72">_xlfn.SORTBY(_xlfn._xlws.FILTER(CHOOSE({1,2,3},Table1[Product],Table1[Discount],Table1[Review]),(Table1[Discount]&gt;40%)*ISNUMBER(Table1[Review])*(Table1[Review]&lt;=5)),_xlfn._xlws.FILTER(Table1[Discount],(Table1[Discount]&gt;40%)*ISNUMBER(Table1[Review])*(Table1[Review]&lt;=5)),-1)</f>
        <v>LASA FOLDING TABLE SERVING STAND</v>
      </c>
      <c r="E62" s="1">
        <v>0.55000000000000004</v>
      </c>
      <c r="F62">
        <v>5</v>
      </c>
      <c r="G62" t="str" cm="1">
        <f t="array" ref="G62:J85">_xlfn._xlws.FILTER(CHOOSE({1,2,3,4},Table1[Product],Table1[Discount],Table1[Rating],IF((Table1[Rating]&lt;3)*(Table1[Discount]&gt;40%),"Review pricing/quality","Increase marketing visibility")),ISNUMBER(Table1[Rating])*ISNUMBER(Table1[Review])*(((Table1[Rating]&lt;3)*(Table1[Discount]&gt;40%))+((Table1[Rating]&gt;=4)*(Table1[Review]&lt;=5))),"No matching products")</f>
        <v>Konka Healty Electric Kettle, 24-hour Heat Preservation,1.5L,800W, White</v>
      </c>
      <c r="H62" s="1">
        <v>0.21</v>
      </c>
      <c r="I62">
        <v>5</v>
      </c>
      <c r="J62" t="str">
        <v>Increase marketing visibility</v>
      </c>
    </row>
    <row r="63" spans="1:10" x14ac:dyDescent="0.3">
      <c r="A63" t="str">
        <v>3PCS Single Head Knitting Crochet Sweater Needle Set</v>
      </c>
      <c r="B63" s="21">
        <v>13</v>
      </c>
      <c r="C63">
        <v>3.3</v>
      </c>
      <c r="D63" t="str">
        <v>Classic Black Cat Cotton Hemp Pillow Case For Home Car</v>
      </c>
      <c r="E63" s="1">
        <v>0.53</v>
      </c>
      <c r="F63">
        <v>2</v>
      </c>
      <c r="G63" t="str">
        <v>LED Wall Digital Alarm Clock Study Home 12 / 24H Clock Calendar</v>
      </c>
      <c r="H63" s="1">
        <v>0.19</v>
      </c>
      <c r="I63">
        <v>4.5999999999999996</v>
      </c>
      <c r="J63" t="str">
        <v>Increase marketing visibility</v>
      </c>
    </row>
    <row r="64" spans="1:10" x14ac:dyDescent="0.3">
      <c r="D64" t="str">
        <v>Anti-Skid Absorbent Insulation Coaster  For Home Office</v>
      </c>
      <c r="E64" s="1">
        <v>0.51</v>
      </c>
      <c r="F64">
        <v>2</v>
      </c>
      <c r="G64" t="str">
        <v>5-PCS Stainless Steel Cooking Pot Set With Steamed Slices</v>
      </c>
      <c r="H64" s="1">
        <v>0.55000000000000004</v>
      </c>
      <c r="I64">
        <v>2.1</v>
      </c>
      <c r="J64" t="str">
        <v>Review pricing/quality</v>
      </c>
    </row>
    <row r="65" spans="4:10" x14ac:dyDescent="0.3">
      <c r="D65" t="str">
        <v>Wall-mounted Sticker Punch-free Plug Fixer</v>
      </c>
      <c r="E65" s="1">
        <v>0.5</v>
      </c>
      <c r="F65">
        <v>1</v>
      </c>
      <c r="G65" t="str">
        <v>LASA Aluminum Folding Truck Hand Cart - 68kg Max</v>
      </c>
      <c r="H65" s="1">
        <v>0.49</v>
      </c>
      <c r="I65">
        <v>5</v>
      </c>
      <c r="J65" t="str">
        <v>Increase marketing visibility</v>
      </c>
    </row>
    <row r="66" spans="4:10" x14ac:dyDescent="0.3">
      <c r="D66" t="str">
        <v>LASA Aluminum Folding Truck Hand Cart - 68kg Max</v>
      </c>
      <c r="E66" s="1">
        <v>0.49</v>
      </c>
      <c r="F66">
        <v>3</v>
      </c>
      <c r="G66" t="str">
        <v>1/2/3 Seater Elastic Sofa Cover,Living Room/Home Decor Chair Cover-Grey</v>
      </c>
      <c r="H66" s="1">
        <v>0.38</v>
      </c>
      <c r="I66">
        <v>4.5</v>
      </c>
      <c r="J66" t="str">
        <v>Increase marketing visibility</v>
      </c>
    </row>
    <row r="67" spans="4:10" x14ac:dyDescent="0.3">
      <c r="D67" t="str">
        <v>Bedroom Simple Floor Hanging Clothes Rack Single Pole Hat Rack - White</v>
      </c>
      <c r="E67" s="1">
        <v>0.49</v>
      </c>
      <c r="F67">
        <v>1</v>
      </c>
      <c r="G67" t="str">
        <v>Portable Home Small Air Humidifier 3-Speed Fan - Green</v>
      </c>
      <c r="H67" s="1">
        <v>0.26</v>
      </c>
      <c r="I67">
        <v>4.8</v>
      </c>
      <c r="J67" t="str">
        <v>Increase marketing visibility</v>
      </c>
    </row>
    <row r="68" spans="4:10" x14ac:dyDescent="0.3">
      <c r="D68" t="str">
        <v>Household Pineapple Peeler Peeler</v>
      </c>
      <c r="E68" s="1">
        <v>0.49</v>
      </c>
      <c r="F68">
        <v>1</v>
      </c>
      <c r="G68" t="str">
        <v>DIY File Folder, Office Drawer File Holder, Pen Holder, Desktop Storage Rack</v>
      </c>
      <c r="H68" s="1">
        <v>0.4</v>
      </c>
      <c r="I68">
        <v>5</v>
      </c>
      <c r="J68" t="str">
        <v>Increase marketing visibility</v>
      </c>
    </row>
    <row r="69" spans="4:10" x14ac:dyDescent="0.3">
      <c r="D69" t="str">
        <v>Memory Foam Neck Pillow Cover, With Pillow Core - 50*30cm</v>
      </c>
      <c r="E69" s="1">
        <v>0.46</v>
      </c>
      <c r="F69">
        <v>1</v>
      </c>
      <c r="G69" t="str">
        <v>Electric LED UV Mosquito Killer Lamp, Outdoor/Indoor Fly Killer Trap Light -USB</v>
      </c>
      <c r="H69" s="1">
        <v>0.47</v>
      </c>
      <c r="I69">
        <v>2.1</v>
      </c>
      <c r="J69" t="str">
        <v>Review pricing/quality</v>
      </c>
    </row>
    <row r="70" spans="4:10" x14ac:dyDescent="0.3">
      <c r="D70" t="str">
        <v>Peacock  Throw Pillow Cushion Case For Home Car</v>
      </c>
      <c r="E70" s="1">
        <v>0.46</v>
      </c>
      <c r="F70">
        <v>2</v>
      </c>
      <c r="G70" t="str">
        <v>LASA FOLDING TABLE SERVING STAND</v>
      </c>
      <c r="H70" s="1">
        <v>0.55000000000000004</v>
      </c>
      <c r="I70">
        <v>4.8</v>
      </c>
      <c r="J70" t="str">
        <v>Increase marketing visibility</v>
      </c>
    </row>
    <row r="71" spans="4:10" x14ac:dyDescent="0.3">
      <c r="D71" t="str">
        <v>13 In 1 Home Repair Tools Box Kit Set</v>
      </c>
      <c r="E71" s="1">
        <v>0.45</v>
      </c>
      <c r="F71">
        <v>5</v>
      </c>
      <c r="G71" t="str">
        <v>380ML USB Rechargeable Portable Small Blenders And Juicers</v>
      </c>
      <c r="H71" s="1">
        <v>0.5</v>
      </c>
      <c r="I71">
        <v>2.2999999999999998</v>
      </c>
      <c r="J71" t="str">
        <v>Review pricing/quality</v>
      </c>
    </row>
    <row r="72" spans="4:10" x14ac:dyDescent="0.3">
      <c r="D72" t="str">
        <v>Wrought Iron Bathroom Shelf Wall Mounted Free Punch Toilet Rack</v>
      </c>
      <c r="E72" s="1">
        <v>0.43</v>
      </c>
      <c r="F72">
        <v>5</v>
      </c>
      <c r="G72" t="str">
        <v>Artificial Potted Flowers Room Decorative Flowers (2 Pieces)</v>
      </c>
      <c r="H72" s="1">
        <v>0.45</v>
      </c>
      <c r="I72">
        <v>2.2000000000000002</v>
      </c>
      <c r="J72" t="str">
        <v>Review pricing/quality</v>
      </c>
    </row>
    <row r="73" spans="4:10" x14ac:dyDescent="0.3">
      <c r="G73" t="str">
        <v>Desk Foldable Fan Adjustable Fan Strong Wind 3 Gear Usb</v>
      </c>
      <c r="H73" s="1">
        <v>0.37</v>
      </c>
      <c r="I73">
        <v>4</v>
      </c>
      <c r="J73" t="str">
        <v>Increase marketing visibility</v>
      </c>
    </row>
    <row r="74" spans="4:10" x14ac:dyDescent="0.3">
      <c r="G74" t="str">
        <v>Bedroom Simple Floor Hanging Clothes Rack Single Pole Hat Rack - White</v>
      </c>
      <c r="H74" s="1">
        <v>0.49</v>
      </c>
      <c r="I74">
        <v>5</v>
      </c>
      <c r="J74" t="str">
        <v>Increase marketing visibility</v>
      </c>
    </row>
    <row r="75" spans="4:10" x14ac:dyDescent="0.3">
      <c r="G75" t="str">
        <v>7-piece Set Of Storage Bags, Travel Storage Bags, Shoe Bags</v>
      </c>
      <c r="H75" s="1">
        <v>0.47</v>
      </c>
      <c r="I75">
        <v>2.2000000000000002</v>
      </c>
      <c r="J75" t="str">
        <v>Review pricing/quality</v>
      </c>
    </row>
    <row r="76" spans="4:10" x14ac:dyDescent="0.3">
      <c r="G76" t="str">
        <v>115  Piece Set Of Multifunctional Precision Screwdrivers</v>
      </c>
      <c r="H76" s="1">
        <v>0.38</v>
      </c>
      <c r="I76">
        <v>4.5</v>
      </c>
      <c r="J76" t="str">
        <v>Increase marketing visibility</v>
      </c>
    </row>
    <row r="77" spans="4:10" x14ac:dyDescent="0.3">
      <c r="G77" t="str">
        <v>Wall-mounted Sticker Punch-free Plug Fixer</v>
      </c>
      <c r="H77" s="1">
        <v>0.5</v>
      </c>
      <c r="I77">
        <v>2</v>
      </c>
      <c r="J77" t="str">
        <v>Review pricing/quality</v>
      </c>
    </row>
    <row r="78" spans="4:10" x14ac:dyDescent="0.3">
      <c r="G78" t="str">
        <v>120W Cordless Vacuum Cleaners Handheld Electric Vacuum Cleaner</v>
      </c>
      <c r="H78" s="1">
        <v>0.49</v>
      </c>
      <c r="I78">
        <v>2.8</v>
      </c>
      <c r="J78" t="str">
        <v>Review pricing/quality</v>
      </c>
    </row>
    <row r="79" spans="4:10" x14ac:dyDescent="0.3">
      <c r="G79" t="str">
        <v>Agapeon Toothbrush Holder And Toothpaste Dispenser</v>
      </c>
      <c r="H79" s="1">
        <v>0.45</v>
      </c>
      <c r="I79">
        <v>2.6</v>
      </c>
      <c r="J79" t="str">
        <v>Review pricing/quality</v>
      </c>
    </row>
    <row r="80" spans="4:10" x14ac:dyDescent="0.3">
      <c r="G80" t="str">
        <v>Watercolour Gold Foil Textured Print Pillow Cover</v>
      </c>
      <c r="H80" s="1">
        <v>0.43</v>
      </c>
      <c r="I80">
        <v>2.2999999999999998</v>
      </c>
      <c r="J80" t="str">
        <v>Review pricing/quality</v>
      </c>
    </row>
    <row r="81" spans="7:10" x14ac:dyDescent="0.3">
      <c r="G81" t="str">
        <v>Anti-Skid Absorbent Insulation Coaster  For Home Office</v>
      </c>
      <c r="H81" s="1">
        <v>0.51</v>
      </c>
      <c r="I81">
        <v>5</v>
      </c>
      <c r="J81" t="str">
        <v>Increase marketing visibility</v>
      </c>
    </row>
    <row r="82" spans="7:10" x14ac:dyDescent="0.3">
      <c r="G82" t="str">
        <v>Household Pineapple Peeler Peeler</v>
      </c>
      <c r="H82" s="1">
        <v>0.49</v>
      </c>
      <c r="I82">
        <v>4</v>
      </c>
      <c r="J82" t="str">
        <v>Increase marketing visibility</v>
      </c>
    </row>
    <row r="83" spans="7:10" x14ac:dyDescent="0.3">
      <c r="G83" t="str">
        <v>Intelligent  LED Body Sensor Wireless Lighting Night Light USB</v>
      </c>
      <c r="H83" s="1">
        <v>0.52</v>
      </c>
      <c r="I83">
        <v>2.7</v>
      </c>
      <c r="J83" t="str">
        <v>Review pricing/quality</v>
      </c>
    </row>
    <row r="84" spans="7:10" x14ac:dyDescent="0.3">
      <c r="G84" t="str">
        <v>Peacock  Throw Pillow Cushion Case For Home Car</v>
      </c>
      <c r="H84" s="1">
        <v>0.46</v>
      </c>
      <c r="I84">
        <v>5</v>
      </c>
      <c r="J84" t="str">
        <v>Increase marketing visibility</v>
      </c>
    </row>
    <row r="85" spans="7:10" x14ac:dyDescent="0.3">
      <c r="G85" t="str">
        <v>Classic Black Cat Cotton Hemp Pillow Case For Home Car</v>
      </c>
      <c r="H85" s="1">
        <v>0.53</v>
      </c>
      <c r="I85">
        <v>5</v>
      </c>
      <c r="J85" t="str">
        <v>Increase marketing visibility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7C6A-6A29-4B57-AC91-B065B690676D}">
  <dimension ref="A3:H20"/>
  <sheetViews>
    <sheetView topLeftCell="A2" workbookViewId="0">
      <selection activeCell="C28" sqref="C28"/>
    </sheetView>
  </sheetViews>
  <sheetFormatPr defaultRowHeight="14.4" x14ac:dyDescent="0.3"/>
  <cols>
    <col min="1" max="1" width="15" bestFit="1" customWidth="1"/>
    <col min="2" max="2" width="14.77734375" bestFit="1" customWidth="1"/>
    <col min="3" max="3" width="15.109375" bestFit="1" customWidth="1"/>
    <col min="4" max="4" width="12.44140625" bestFit="1" customWidth="1"/>
    <col min="5" max="5" width="15.77734375" bestFit="1" customWidth="1"/>
    <col min="7" max="7" width="12.44140625" bestFit="1" customWidth="1"/>
    <col min="8" max="8" width="15.109375" bestFit="1" customWidth="1"/>
  </cols>
  <sheetData>
    <row r="3" spans="1:8" x14ac:dyDescent="0.3">
      <c r="A3" t="s">
        <v>280</v>
      </c>
      <c r="B3" t="s">
        <v>281</v>
      </c>
      <c r="C3" t="s">
        <v>282</v>
      </c>
      <c r="D3" t="s">
        <v>279</v>
      </c>
    </row>
    <row r="4" spans="1:8" x14ac:dyDescent="0.3">
      <c r="A4" s="5">
        <v>1174.3565217391304</v>
      </c>
      <c r="B4" s="1">
        <v>0.36956521739130432</v>
      </c>
      <c r="C4" s="4">
        <v>3.8894736842105262</v>
      </c>
      <c r="D4" s="29">
        <v>723</v>
      </c>
    </row>
    <row r="8" spans="1:8" x14ac:dyDescent="0.3">
      <c r="A8" s="22" t="s">
        <v>283</v>
      </c>
      <c r="B8" t="s">
        <v>285</v>
      </c>
      <c r="D8" s="22" t="s">
        <v>283</v>
      </c>
      <c r="E8" t="s">
        <v>285</v>
      </c>
      <c r="G8" s="22" t="s">
        <v>283</v>
      </c>
      <c r="H8" t="s">
        <v>285</v>
      </c>
    </row>
    <row r="9" spans="1:8" x14ac:dyDescent="0.3">
      <c r="A9" s="23" t="s">
        <v>299</v>
      </c>
      <c r="B9" s="29">
        <v>65</v>
      </c>
      <c r="D9" s="23" t="s">
        <v>303</v>
      </c>
      <c r="E9" s="29">
        <v>17</v>
      </c>
      <c r="G9" s="23" t="s">
        <v>287</v>
      </c>
      <c r="H9" s="29">
        <v>9</v>
      </c>
    </row>
    <row r="10" spans="1:8" x14ac:dyDescent="0.3">
      <c r="A10" s="23" t="s">
        <v>306</v>
      </c>
      <c r="B10" s="29">
        <v>18</v>
      </c>
      <c r="D10" s="23" t="s">
        <v>286</v>
      </c>
      <c r="E10" s="29">
        <v>29</v>
      </c>
      <c r="G10" s="23" t="s">
        <v>302</v>
      </c>
      <c r="H10" s="29">
        <v>36</v>
      </c>
    </row>
    <row r="11" spans="1:8" x14ac:dyDescent="0.3">
      <c r="A11" s="23" t="s">
        <v>305</v>
      </c>
      <c r="B11" s="29">
        <v>32</v>
      </c>
      <c r="D11" s="23" t="s">
        <v>301</v>
      </c>
      <c r="E11" s="29">
        <v>69</v>
      </c>
      <c r="G11" s="23" t="s">
        <v>304</v>
      </c>
      <c r="H11" s="29">
        <v>70</v>
      </c>
    </row>
    <row r="12" spans="1:8" x14ac:dyDescent="0.3">
      <c r="A12" s="23" t="s">
        <v>284</v>
      </c>
      <c r="B12" s="29">
        <v>115</v>
      </c>
      <c r="D12" s="23" t="s">
        <v>284</v>
      </c>
      <c r="E12" s="29">
        <v>115</v>
      </c>
      <c r="G12" s="23" t="s">
        <v>284</v>
      </c>
      <c r="H12" s="29">
        <v>115</v>
      </c>
    </row>
    <row r="16" spans="1:8" x14ac:dyDescent="0.3">
      <c r="A16" s="22" t="s">
        <v>283</v>
      </c>
      <c r="B16" t="s">
        <v>288</v>
      </c>
      <c r="D16" s="22" t="s">
        <v>283</v>
      </c>
      <c r="E16" t="s">
        <v>288</v>
      </c>
      <c r="G16" s="22" t="s">
        <v>283</v>
      </c>
      <c r="H16" t="s">
        <v>282</v>
      </c>
    </row>
    <row r="17" spans="1:8" x14ac:dyDescent="0.3">
      <c r="A17" s="23" t="s">
        <v>299</v>
      </c>
      <c r="B17" s="4">
        <v>11.133333333333333</v>
      </c>
      <c r="D17" s="23" t="s">
        <v>287</v>
      </c>
      <c r="E17" s="4">
        <v>7.666666666666667</v>
      </c>
      <c r="G17" s="23" t="s">
        <v>303</v>
      </c>
      <c r="H17" s="4">
        <v>3.875</v>
      </c>
    </row>
    <row r="18" spans="1:8" x14ac:dyDescent="0.3">
      <c r="A18" s="23" t="s">
        <v>306</v>
      </c>
      <c r="B18" s="4">
        <v>9.5</v>
      </c>
      <c r="D18" s="23" t="s">
        <v>302</v>
      </c>
      <c r="E18" s="4">
        <v>13.472222222222221</v>
      </c>
      <c r="G18" s="23" t="s">
        <v>286</v>
      </c>
      <c r="H18" s="4">
        <v>3.6357142857142857</v>
      </c>
    </row>
    <row r="19" spans="1:8" x14ac:dyDescent="0.3">
      <c r="A19" s="23" t="s">
        <v>305</v>
      </c>
      <c r="B19" s="4">
        <v>15.260869565217391</v>
      </c>
      <c r="D19" s="23" t="s">
        <v>304</v>
      </c>
      <c r="E19" s="4">
        <v>14.083333333333334</v>
      </c>
      <c r="G19" s="23" t="s">
        <v>301</v>
      </c>
      <c r="H19" s="4">
        <v>4.0096774193548379</v>
      </c>
    </row>
    <row r="20" spans="1:8" x14ac:dyDescent="0.3">
      <c r="A20" s="23" t="s">
        <v>284</v>
      </c>
      <c r="B20" s="4">
        <v>12.684210526315789</v>
      </c>
      <c r="D20" s="23" t="s">
        <v>284</v>
      </c>
      <c r="E20" s="4">
        <v>12.684210526315789</v>
      </c>
      <c r="G20" s="23" t="s">
        <v>284</v>
      </c>
      <c r="H20" s="4">
        <v>3.8894736842105258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D278-8053-4EC7-90A2-C3C4A406D4DF}">
  <dimension ref="B2:E8"/>
  <sheetViews>
    <sheetView tabSelected="1" zoomScale="62" workbookViewId="0">
      <selection activeCell="AD39" sqref="AD39"/>
    </sheetView>
  </sheetViews>
  <sheetFormatPr defaultRowHeight="14.4" x14ac:dyDescent="0.3"/>
  <sheetData>
    <row r="2" spans="2:5" ht="33.6" x14ac:dyDescent="0.65">
      <c r="C2" s="28"/>
    </row>
    <row r="3" spans="2:5" x14ac:dyDescent="0.3">
      <c r="C3" s="30" t="b">
        <v>0</v>
      </c>
    </row>
    <row r="4" spans="2:5" ht="15.6" x14ac:dyDescent="0.3">
      <c r="B4" s="13"/>
      <c r="E4" s="5"/>
    </row>
    <row r="8" spans="2:5" x14ac:dyDescent="0.3">
      <c r="D8" s="1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A678-6B39-4D04-BEB4-0A4FD85B8C74}">
  <dimension ref="B4:B14"/>
  <sheetViews>
    <sheetView workbookViewId="0">
      <selection activeCell="B4" sqref="B4"/>
    </sheetView>
  </sheetViews>
  <sheetFormatPr defaultRowHeight="14.4" x14ac:dyDescent="0.3"/>
  <cols>
    <col min="2" max="2" width="219.77734375" bestFit="1" customWidth="1"/>
  </cols>
  <sheetData>
    <row r="4" spans="2:2" ht="23.4" x14ac:dyDescent="0.3">
      <c r="B4" s="24" t="s">
        <v>298</v>
      </c>
    </row>
    <row r="5" spans="2:2" x14ac:dyDescent="0.3">
      <c r="B5" s="25"/>
    </row>
    <row r="6" spans="2:2" x14ac:dyDescent="0.3">
      <c r="B6" s="26" t="s">
        <v>296</v>
      </c>
    </row>
    <row r="7" spans="2:2" x14ac:dyDescent="0.3">
      <c r="B7" s="26" t="s">
        <v>289</v>
      </c>
    </row>
    <row r="8" spans="2:2" x14ac:dyDescent="0.3">
      <c r="B8" s="26" t="s">
        <v>290</v>
      </c>
    </row>
    <row r="9" spans="2:2" x14ac:dyDescent="0.3">
      <c r="B9" s="26" t="s">
        <v>297</v>
      </c>
    </row>
    <row r="10" spans="2:2" x14ac:dyDescent="0.3">
      <c r="B10" s="26" t="s">
        <v>291</v>
      </c>
    </row>
    <row r="11" spans="2:2" x14ac:dyDescent="0.3">
      <c r="B11" s="27" t="s">
        <v>292</v>
      </c>
    </row>
    <row r="12" spans="2:2" x14ac:dyDescent="0.3">
      <c r="B12" s="27" t="s">
        <v>293</v>
      </c>
    </row>
    <row r="13" spans="2:2" x14ac:dyDescent="0.3">
      <c r="B13" s="27" t="s">
        <v>294</v>
      </c>
    </row>
    <row r="14" spans="2:2" x14ac:dyDescent="0.3">
      <c r="B14" s="27"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Excel_jumia_dataset</vt:lpstr>
      <vt:lpstr>cleaned products</vt:lpstr>
      <vt:lpstr>analysis</vt:lpstr>
      <vt:lpstr>pivot tables </vt:lpstr>
      <vt:lpstr>Dashboard</vt:lpstr>
      <vt:lpstr>Bussines insights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Nhial Doap</cp:lastModifiedBy>
  <dcterms:created xsi:type="dcterms:W3CDTF">2026-09-06T06:43:59Z</dcterms:created>
  <dcterms:modified xsi:type="dcterms:W3CDTF">2026-09-25T22:12:08Z</dcterms:modified>
</cp:coreProperties>
</file>